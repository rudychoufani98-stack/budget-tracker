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udy\Desktop\esg-tracker\"/>
    </mc:Choice>
  </mc:AlternateContent>
  <xr:revisionPtr revIDLastSave="0" documentId="8_{F73C626F-AC27-4A00-B7E1-C3AB1BA18036}" xr6:coauthVersionLast="47" xr6:coauthVersionMax="47" xr10:uidLastSave="{00000000-0000-0000-0000-000000000000}"/>
  <bookViews>
    <workbookView xWindow="-98" yWindow="-98" windowWidth="21795" windowHeight="12975" tabRatio="500" activeTab="2" xr2:uid="{00000000-000D-0000-FFFF-FFFF00000000}"/>
  </bookViews>
  <sheets>
    <sheet name="Dashboard MD" sheetId="1" r:id="rId1"/>
    <sheet name="MD Register" sheetId="2" r:id="rId2"/>
    <sheet name="VBA_Code" sheetId="3" r:id="rId3"/>
    <sheet name="README" sheetId="4" r:id="rId4"/>
    <sheet name="Lists" sheetId="5" r:id="rId5"/>
    <sheet name="Projects &amp; Contracts" sheetId="6" r:id="rId6"/>
    <sheet name="Export_HTML" sheetId="7" r:id="rId7"/>
  </sheets>
  <definedNames>
    <definedName name="_xlnm._FilterDatabase" localSheetId="1" hidden="1">'MD Register'!$A$4:$Y$105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1" i="7" l="1"/>
  <c r="F109" i="7"/>
  <c r="K108" i="7"/>
  <c r="J108" i="7"/>
  <c r="I108" i="7"/>
  <c r="H108" i="7"/>
  <c r="G108" i="7"/>
  <c r="F108" i="7"/>
  <c r="E108" i="7"/>
  <c r="D108" i="7"/>
  <c r="C108" i="7"/>
  <c r="B108" i="7"/>
  <c r="A108" i="7"/>
  <c r="K107" i="7"/>
  <c r="J107" i="7"/>
  <c r="I107" i="7"/>
  <c r="H107" i="7"/>
  <c r="G107" i="7"/>
  <c r="F107" i="7"/>
  <c r="E107" i="7"/>
  <c r="D107" i="7"/>
  <c r="C107" i="7"/>
  <c r="B107" i="7"/>
  <c r="A107" i="7"/>
  <c r="K106" i="7"/>
  <c r="J106" i="7"/>
  <c r="I106" i="7"/>
  <c r="H106" i="7"/>
  <c r="G106" i="7"/>
  <c r="F106" i="7"/>
  <c r="E106" i="7"/>
  <c r="D106" i="7"/>
  <c r="C106" i="7"/>
  <c r="B106" i="7"/>
  <c r="A106" i="7"/>
  <c r="K105" i="7"/>
  <c r="J105" i="7"/>
  <c r="I105" i="7"/>
  <c r="H105" i="7"/>
  <c r="G105" i="7"/>
  <c r="F105" i="7"/>
  <c r="E105" i="7"/>
  <c r="D105" i="7"/>
  <c r="C105" i="7"/>
  <c r="B105" i="7"/>
  <c r="A105" i="7"/>
  <c r="K104" i="7"/>
  <c r="J104" i="7"/>
  <c r="I104" i="7"/>
  <c r="H104" i="7"/>
  <c r="G104" i="7"/>
  <c r="F104" i="7"/>
  <c r="E104" i="7"/>
  <c r="D104" i="7"/>
  <c r="C104" i="7"/>
  <c r="B104" i="7"/>
  <c r="A104" i="7"/>
  <c r="K103" i="7"/>
  <c r="J103" i="7"/>
  <c r="I103" i="7"/>
  <c r="H103" i="7"/>
  <c r="G103" i="7"/>
  <c r="F103" i="7"/>
  <c r="E103" i="7"/>
  <c r="D103" i="7"/>
  <c r="C103" i="7"/>
  <c r="B103" i="7"/>
  <c r="A103" i="7"/>
  <c r="K102" i="7"/>
  <c r="J102" i="7"/>
  <c r="I102" i="7"/>
  <c r="H102" i="7"/>
  <c r="G102" i="7"/>
  <c r="F102" i="7"/>
  <c r="E102" i="7"/>
  <c r="D102" i="7"/>
  <c r="C102" i="7"/>
  <c r="B102" i="7"/>
  <c r="A102" i="7"/>
  <c r="K101" i="7"/>
  <c r="J101" i="7"/>
  <c r="I101" i="7"/>
  <c r="H101" i="7"/>
  <c r="G101" i="7"/>
  <c r="F101" i="7"/>
  <c r="E101" i="7"/>
  <c r="D101" i="7"/>
  <c r="C101" i="7"/>
  <c r="B101" i="7"/>
  <c r="A101" i="7"/>
  <c r="K100" i="7"/>
  <c r="J100" i="7"/>
  <c r="I100" i="7"/>
  <c r="H100" i="7"/>
  <c r="G100" i="7"/>
  <c r="F100" i="7"/>
  <c r="E100" i="7"/>
  <c r="D100" i="7"/>
  <c r="C100" i="7"/>
  <c r="B100" i="7"/>
  <c r="A100" i="7"/>
  <c r="K99" i="7"/>
  <c r="J99" i="7"/>
  <c r="I99" i="7"/>
  <c r="H99" i="7"/>
  <c r="G99" i="7"/>
  <c r="F99" i="7"/>
  <c r="E99" i="7"/>
  <c r="D99" i="7"/>
  <c r="C99" i="7"/>
  <c r="B99" i="7"/>
  <c r="A99" i="7"/>
  <c r="K98" i="7"/>
  <c r="J98" i="7"/>
  <c r="I98" i="7"/>
  <c r="H98" i="7"/>
  <c r="G98" i="7"/>
  <c r="F98" i="7"/>
  <c r="E98" i="7"/>
  <c r="D98" i="7"/>
  <c r="C98" i="7"/>
  <c r="B98" i="7"/>
  <c r="A98" i="7"/>
  <c r="K97" i="7"/>
  <c r="J97" i="7"/>
  <c r="I97" i="7"/>
  <c r="H97" i="7"/>
  <c r="G97" i="7"/>
  <c r="F97" i="7"/>
  <c r="E97" i="7"/>
  <c r="D97" i="7"/>
  <c r="C97" i="7"/>
  <c r="B97" i="7"/>
  <c r="A97" i="7"/>
  <c r="K96" i="7"/>
  <c r="J96" i="7"/>
  <c r="I96" i="7"/>
  <c r="H96" i="7"/>
  <c r="G96" i="7"/>
  <c r="F96" i="7"/>
  <c r="E96" i="7"/>
  <c r="D96" i="7"/>
  <c r="C96" i="7"/>
  <c r="B96" i="7"/>
  <c r="A96" i="7"/>
  <c r="K95" i="7"/>
  <c r="J95" i="7"/>
  <c r="I95" i="7"/>
  <c r="H95" i="7"/>
  <c r="G95" i="7"/>
  <c r="F95" i="7"/>
  <c r="E95" i="7"/>
  <c r="D95" i="7"/>
  <c r="C95" i="7"/>
  <c r="B95" i="7"/>
  <c r="A95" i="7"/>
  <c r="K94" i="7"/>
  <c r="J94" i="7"/>
  <c r="I94" i="7"/>
  <c r="H94" i="7"/>
  <c r="G94" i="7"/>
  <c r="F94" i="7"/>
  <c r="E94" i="7"/>
  <c r="D94" i="7"/>
  <c r="C94" i="7"/>
  <c r="B94" i="7"/>
  <c r="A94" i="7"/>
  <c r="K93" i="7"/>
  <c r="J93" i="7"/>
  <c r="I93" i="7"/>
  <c r="H93" i="7"/>
  <c r="G93" i="7"/>
  <c r="F93" i="7"/>
  <c r="E93" i="7"/>
  <c r="D93" i="7"/>
  <c r="C93" i="7"/>
  <c r="B93" i="7"/>
  <c r="A93" i="7"/>
  <c r="K92" i="7"/>
  <c r="J92" i="7"/>
  <c r="I92" i="7"/>
  <c r="H92" i="7"/>
  <c r="G92" i="7"/>
  <c r="F92" i="7"/>
  <c r="E92" i="7"/>
  <c r="D92" i="7"/>
  <c r="C92" i="7"/>
  <c r="B92" i="7"/>
  <c r="A92" i="7"/>
  <c r="K91" i="7"/>
  <c r="J91" i="7"/>
  <c r="I91" i="7"/>
  <c r="H91" i="7"/>
  <c r="G91" i="7"/>
  <c r="F91" i="7"/>
  <c r="E91" i="7"/>
  <c r="D91" i="7"/>
  <c r="C91" i="7"/>
  <c r="B91" i="7"/>
  <c r="A91" i="7"/>
  <c r="K90" i="7"/>
  <c r="J90" i="7"/>
  <c r="I90" i="7"/>
  <c r="H90" i="7"/>
  <c r="G90" i="7"/>
  <c r="F90" i="7"/>
  <c r="E90" i="7"/>
  <c r="D90" i="7"/>
  <c r="C90" i="7"/>
  <c r="B90" i="7"/>
  <c r="A90" i="7"/>
  <c r="K89" i="7"/>
  <c r="J89" i="7"/>
  <c r="I89" i="7"/>
  <c r="H89" i="7"/>
  <c r="G89" i="7"/>
  <c r="F89" i="7"/>
  <c r="E89" i="7"/>
  <c r="D89" i="7"/>
  <c r="C89" i="7"/>
  <c r="B89" i="7"/>
  <c r="A89" i="7"/>
  <c r="K88" i="7"/>
  <c r="J88" i="7"/>
  <c r="I88" i="7"/>
  <c r="H88" i="7"/>
  <c r="G88" i="7"/>
  <c r="F88" i="7"/>
  <c r="E88" i="7"/>
  <c r="D88" i="7"/>
  <c r="C88" i="7"/>
  <c r="B88" i="7"/>
  <c r="A88" i="7"/>
  <c r="K87" i="7"/>
  <c r="J87" i="7"/>
  <c r="I87" i="7"/>
  <c r="H87" i="7"/>
  <c r="G87" i="7"/>
  <c r="F87" i="7"/>
  <c r="E87" i="7"/>
  <c r="D87" i="7"/>
  <c r="C87" i="7"/>
  <c r="B87" i="7"/>
  <c r="A87" i="7"/>
  <c r="K86" i="7"/>
  <c r="J86" i="7"/>
  <c r="I86" i="7"/>
  <c r="H86" i="7"/>
  <c r="G86" i="7"/>
  <c r="F86" i="7"/>
  <c r="E86" i="7"/>
  <c r="D86" i="7"/>
  <c r="C86" i="7"/>
  <c r="B86" i="7"/>
  <c r="A86" i="7"/>
  <c r="K85" i="7"/>
  <c r="J85" i="7"/>
  <c r="I85" i="7"/>
  <c r="H85" i="7"/>
  <c r="G85" i="7"/>
  <c r="F85" i="7"/>
  <c r="E85" i="7"/>
  <c r="D85" i="7"/>
  <c r="C85" i="7"/>
  <c r="B85" i="7"/>
  <c r="A85" i="7"/>
  <c r="K84" i="7"/>
  <c r="J84" i="7"/>
  <c r="I84" i="7"/>
  <c r="H84" i="7"/>
  <c r="G84" i="7"/>
  <c r="F84" i="7"/>
  <c r="E84" i="7"/>
  <c r="D84" i="7"/>
  <c r="C84" i="7"/>
  <c r="B84" i="7"/>
  <c r="A84" i="7"/>
  <c r="K83" i="7"/>
  <c r="J83" i="7"/>
  <c r="I83" i="7"/>
  <c r="H83" i="7"/>
  <c r="G83" i="7"/>
  <c r="F83" i="7"/>
  <c r="E83" i="7"/>
  <c r="D83" i="7"/>
  <c r="C83" i="7"/>
  <c r="B83" i="7"/>
  <c r="A83" i="7"/>
  <c r="K82" i="7"/>
  <c r="J82" i="7"/>
  <c r="I82" i="7"/>
  <c r="H82" i="7"/>
  <c r="G82" i="7"/>
  <c r="F82" i="7"/>
  <c r="E82" i="7"/>
  <c r="D82" i="7"/>
  <c r="C82" i="7"/>
  <c r="B82" i="7"/>
  <c r="A82" i="7"/>
  <c r="K81" i="7"/>
  <c r="J81" i="7"/>
  <c r="I81" i="7"/>
  <c r="H81" i="7"/>
  <c r="G81" i="7"/>
  <c r="F81" i="7"/>
  <c r="E81" i="7"/>
  <c r="D81" i="7"/>
  <c r="C81" i="7"/>
  <c r="B81" i="7"/>
  <c r="A81" i="7"/>
  <c r="K80" i="7"/>
  <c r="J80" i="7"/>
  <c r="I80" i="7"/>
  <c r="H80" i="7"/>
  <c r="G80" i="7"/>
  <c r="F80" i="7"/>
  <c r="E80" i="7"/>
  <c r="D80" i="7"/>
  <c r="C80" i="7"/>
  <c r="B80" i="7"/>
  <c r="A80" i="7"/>
  <c r="K79" i="7"/>
  <c r="J79" i="7"/>
  <c r="I79" i="7"/>
  <c r="H79" i="7"/>
  <c r="G79" i="7"/>
  <c r="F79" i="7"/>
  <c r="E79" i="7"/>
  <c r="D79" i="7"/>
  <c r="C79" i="7"/>
  <c r="B79" i="7"/>
  <c r="A79" i="7"/>
  <c r="K78" i="7"/>
  <c r="J78" i="7"/>
  <c r="I78" i="7"/>
  <c r="H78" i="7"/>
  <c r="G78" i="7"/>
  <c r="F78" i="7"/>
  <c r="E78" i="7"/>
  <c r="D78" i="7"/>
  <c r="C78" i="7"/>
  <c r="B78" i="7"/>
  <c r="A78" i="7"/>
  <c r="K77" i="7"/>
  <c r="J77" i="7"/>
  <c r="I77" i="7"/>
  <c r="H77" i="7"/>
  <c r="G77" i="7"/>
  <c r="F77" i="7"/>
  <c r="E77" i="7"/>
  <c r="D77" i="7"/>
  <c r="C77" i="7"/>
  <c r="B77" i="7"/>
  <c r="A77" i="7"/>
  <c r="K76" i="7"/>
  <c r="J76" i="7"/>
  <c r="I76" i="7"/>
  <c r="H76" i="7"/>
  <c r="G76" i="7"/>
  <c r="F76" i="7"/>
  <c r="E76" i="7"/>
  <c r="D76" i="7"/>
  <c r="C76" i="7"/>
  <c r="B76" i="7"/>
  <c r="A76" i="7"/>
  <c r="K75" i="7"/>
  <c r="J75" i="7"/>
  <c r="I75" i="7"/>
  <c r="H75" i="7"/>
  <c r="G75" i="7"/>
  <c r="F75" i="7"/>
  <c r="E75" i="7"/>
  <c r="D75" i="7"/>
  <c r="C75" i="7"/>
  <c r="B75" i="7"/>
  <c r="A75" i="7"/>
  <c r="K74" i="7"/>
  <c r="J74" i="7"/>
  <c r="I74" i="7"/>
  <c r="H74" i="7"/>
  <c r="G74" i="7"/>
  <c r="F74" i="7"/>
  <c r="E74" i="7"/>
  <c r="D74" i="7"/>
  <c r="C74" i="7"/>
  <c r="B74" i="7"/>
  <c r="A74" i="7"/>
  <c r="K73" i="7"/>
  <c r="J73" i="7"/>
  <c r="I73" i="7"/>
  <c r="H73" i="7"/>
  <c r="G73" i="7"/>
  <c r="F73" i="7"/>
  <c r="E73" i="7"/>
  <c r="D73" i="7"/>
  <c r="C73" i="7"/>
  <c r="B73" i="7"/>
  <c r="A73" i="7"/>
  <c r="K72" i="7"/>
  <c r="J72" i="7"/>
  <c r="I72" i="7"/>
  <c r="H72" i="7"/>
  <c r="G72" i="7"/>
  <c r="F72" i="7"/>
  <c r="E72" i="7"/>
  <c r="D72" i="7"/>
  <c r="C72" i="7"/>
  <c r="B72" i="7"/>
  <c r="A72" i="7"/>
  <c r="K71" i="7"/>
  <c r="J71" i="7"/>
  <c r="I71" i="7"/>
  <c r="H71" i="7"/>
  <c r="G71" i="7"/>
  <c r="F71" i="7"/>
  <c r="E71" i="7"/>
  <c r="D71" i="7"/>
  <c r="C71" i="7"/>
  <c r="B71" i="7"/>
  <c r="A71" i="7"/>
  <c r="K70" i="7"/>
  <c r="J70" i="7"/>
  <c r="I70" i="7"/>
  <c r="H70" i="7"/>
  <c r="G70" i="7"/>
  <c r="F70" i="7"/>
  <c r="E70" i="7"/>
  <c r="D70" i="7"/>
  <c r="C70" i="7"/>
  <c r="B70" i="7"/>
  <c r="A70" i="7"/>
  <c r="K69" i="7"/>
  <c r="J69" i="7"/>
  <c r="I69" i="7"/>
  <c r="H69" i="7"/>
  <c r="G69" i="7"/>
  <c r="F69" i="7"/>
  <c r="E69" i="7"/>
  <c r="D69" i="7"/>
  <c r="C69" i="7"/>
  <c r="B69" i="7"/>
  <c r="A69" i="7"/>
  <c r="K68" i="7"/>
  <c r="J68" i="7"/>
  <c r="I68" i="7"/>
  <c r="H68" i="7"/>
  <c r="G68" i="7"/>
  <c r="F68" i="7"/>
  <c r="E68" i="7"/>
  <c r="D68" i="7"/>
  <c r="C68" i="7"/>
  <c r="B68" i="7"/>
  <c r="A68" i="7"/>
  <c r="K67" i="7"/>
  <c r="J67" i="7"/>
  <c r="I67" i="7"/>
  <c r="H67" i="7"/>
  <c r="G67" i="7"/>
  <c r="F67" i="7"/>
  <c r="E67" i="7"/>
  <c r="D67" i="7"/>
  <c r="C67" i="7"/>
  <c r="B67" i="7"/>
  <c r="A67" i="7"/>
  <c r="K66" i="7"/>
  <c r="J66" i="7"/>
  <c r="I66" i="7"/>
  <c r="H66" i="7"/>
  <c r="G66" i="7"/>
  <c r="F66" i="7"/>
  <c r="E66" i="7"/>
  <c r="D66" i="7"/>
  <c r="C66" i="7"/>
  <c r="B66" i="7"/>
  <c r="A66" i="7"/>
  <c r="K65" i="7"/>
  <c r="J65" i="7"/>
  <c r="I65" i="7"/>
  <c r="H65" i="7"/>
  <c r="G65" i="7"/>
  <c r="F65" i="7"/>
  <c r="E65" i="7"/>
  <c r="D65" i="7"/>
  <c r="C65" i="7"/>
  <c r="B65" i="7"/>
  <c r="A65" i="7"/>
  <c r="K64" i="7"/>
  <c r="J64" i="7"/>
  <c r="I64" i="7"/>
  <c r="H64" i="7"/>
  <c r="G64" i="7"/>
  <c r="F64" i="7"/>
  <c r="E64" i="7"/>
  <c r="D64" i="7"/>
  <c r="C64" i="7"/>
  <c r="B64" i="7"/>
  <c r="A64" i="7"/>
  <c r="K63" i="7"/>
  <c r="J63" i="7"/>
  <c r="I63" i="7"/>
  <c r="H63" i="7"/>
  <c r="G63" i="7"/>
  <c r="F63" i="7"/>
  <c r="E63" i="7"/>
  <c r="D63" i="7"/>
  <c r="C63" i="7"/>
  <c r="B63" i="7"/>
  <c r="A63" i="7"/>
  <c r="K62" i="7"/>
  <c r="J62" i="7"/>
  <c r="I62" i="7"/>
  <c r="H62" i="7"/>
  <c r="G62" i="7"/>
  <c r="F62" i="7"/>
  <c r="E62" i="7"/>
  <c r="D62" i="7"/>
  <c r="C62" i="7"/>
  <c r="B62" i="7"/>
  <c r="A62" i="7"/>
  <c r="K61" i="7"/>
  <c r="J61" i="7"/>
  <c r="I61" i="7"/>
  <c r="H61" i="7"/>
  <c r="G61" i="7"/>
  <c r="F61" i="7"/>
  <c r="E61" i="7"/>
  <c r="D61" i="7"/>
  <c r="C61" i="7"/>
  <c r="B61" i="7"/>
  <c r="A61" i="7"/>
  <c r="K60" i="7"/>
  <c r="J60" i="7"/>
  <c r="I60" i="7"/>
  <c r="H60" i="7"/>
  <c r="G60" i="7"/>
  <c r="F60" i="7"/>
  <c r="E60" i="7"/>
  <c r="D60" i="7"/>
  <c r="C60" i="7"/>
  <c r="B60" i="7"/>
  <c r="A60" i="7"/>
  <c r="K59" i="7"/>
  <c r="J59" i="7"/>
  <c r="I59" i="7"/>
  <c r="H59" i="7"/>
  <c r="G59" i="7"/>
  <c r="F59" i="7"/>
  <c r="E59" i="7"/>
  <c r="D59" i="7"/>
  <c r="C59" i="7"/>
  <c r="B59" i="7"/>
  <c r="A59" i="7"/>
  <c r="K58" i="7"/>
  <c r="J58" i="7"/>
  <c r="I58" i="7"/>
  <c r="H58" i="7"/>
  <c r="G58" i="7"/>
  <c r="F58" i="7"/>
  <c r="E58" i="7"/>
  <c r="D58" i="7"/>
  <c r="C58" i="7"/>
  <c r="B58" i="7"/>
  <c r="A58" i="7"/>
  <c r="K57" i="7"/>
  <c r="J57" i="7"/>
  <c r="I57" i="7"/>
  <c r="H57" i="7"/>
  <c r="G57" i="7"/>
  <c r="F57" i="7"/>
  <c r="E57" i="7"/>
  <c r="D57" i="7"/>
  <c r="C57" i="7"/>
  <c r="B57" i="7"/>
  <c r="A57" i="7"/>
  <c r="K56" i="7"/>
  <c r="J56" i="7"/>
  <c r="I56" i="7"/>
  <c r="H56" i="7"/>
  <c r="G56" i="7"/>
  <c r="F56" i="7"/>
  <c r="E56" i="7"/>
  <c r="D56" i="7"/>
  <c r="C56" i="7"/>
  <c r="B56" i="7"/>
  <c r="A56" i="7"/>
  <c r="K55" i="7"/>
  <c r="J55" i="7"/>
  <c r="I55" i="7"/>
  <c r="H55" i="7"/>
  <c r="G55" i="7"/>
  <c r="F55" i="7"/>
  <c r="E55" i="7"/>
  <c r="D55" i="7"/>
  <c r="C55" i="7"/>
  <c r="B55" i="7"/>
  <c r="A55" i="7"/>
  <c r="K54" i="7"/>
  <c r="J54" i="7"/>
  <c r="I54" i="7"/>
  <c r="H54" i="7"/>
  <c r="G54" i="7"/>
  <c r="F54" i="7"/>
  <c r="E54" i="7"/>
  <c r="D54" i="7"/>
  <c r="C54" i="7"/>
  <c r="B54" i="7"/>
  <c r="A54" i="7"/>
  <c r="K53" i="7"/>
  <c r="J53" i="7"/>
  <c r="I53" i="7"/>
  <c r="H53" i="7"/>
  <c r="G53" i="7"/>
  <c r="F53" i="7"/>
  <c r="E53" i="7"/>
  <c r="D53" i="7"/>
  <c r="C53" i="7"/>
  <c r="B53" i="7"/>
  <c r="A53" i="7"/>
  <c r="K52" i="7"/>
  <c r="J52" i="7"/>
  <c r="I52" i="7"/>
  <c r="H52" i="7"/>
  <c r="G52" i="7"/>
  <c r="F52" i="7"/>
  <c r="E52" i="7"/>
  <c r="D52" i="7"/>
  <c r="C52" i="7"/>
  <c r="B52" i="7"/>
  <c r="A52" i="7"/>
  <c r="K51" i="7"/>
  <c r="J51" i="7"/>
  <c r="I51" i="7"/>
  <c r="H51" i="7"/>
  <c r="G51" i="7"/>
  <c r="F51" i="7"/>
  <c r="E51" i="7"/>
  <c r="D51" i="7"/>
  <c r="C51" i="7"/>
  <c r="B51" i="7"/>
  <c r="A51" i="7"/>
  <c r="K50" i="7"/>
  <c r="J50" i="7"/>
  <c r="I50" i="7"/>
  <c r="H50" i="7"/>
  <c r="G50" i="7"/>
  <c r="F50" i="7"/>
  <c r="E50" i="7"/>
  <c r="D50" i="7"/>
  <c r="C50" i="7"/>
  <c r="B50" i="7"/>
  <c r="A50" i="7"/>
  <c r="K49" i="7"/>
  <c r="J49" i="7"/>
  <c r="I49" i="7"/>
  <c r="H49" i="7"/>
  <c r="G49" i="7"/>
  <c r="F49" i="7"/>
  <c r="E49" i="7"/>
  <c r="D49" i="7"/>
  <c r="C49" i="7"/>
  <c r="B49" i="7"/>
  <c r="A49" i="7"/>
  <c r="K48" i="7"/>
  <c r="J48" i="7"/>
  <c r="I48" i="7"/>
  <c r="H48" i="7"/>
  <c r="G48" i="7"/>
  <c r="F48" i="7"/>
  <c r="E48" i="7"/>
  <c r="D48" i="7"/>
  <c r="C48" i="7"/>
  <c r="B48" i="7"/>
  <c r="A48" i="7"/>
  <c r="K47" i="7"/>
  <c r="J47" i="7"/>
  <c r="I47" i="7"/>
  <c r="H47" i="7"/>
  <c r="G47" i="7"/>
  <c r="F47" i="7"/>
  <c r="E47" i="7"/>
  <c r="D47" i="7"/>
  <c r="C47" i="7"/>
  <c r="B47" i="7"/>
  <c r="A47" i="7"/>
  <c r="K46" i="7"/>
  <c r="J46" i="7"/>
  <c r="I46" i="7"/>
  <c r="H46" i="7"/>
  <c r="G46" i="7"/>
  <c r="F46" i="7"/>
  <c r="E46" i="7"/>
  <c r="D46" i="7"/>
  <c r="C46" i="7"/>
  <c r="B46" i="7"/>
  <c r="A46" i="7"/>
  <c r="K45" i="7"/>
  <c r="J45" i="7"/>
  <c r="I45" i="7"/>
  <c r="H45" i="7"/>
  <c r="G45" i="7"/>
  <c r="F45" i="7"/>
  <c r="E45" i="7"/>
  <c r="D45" i="7"/>
  <c r="C45" i="7"/>
  <c r="B45" i="7"/>
  <c r="A45" i="7"/>
  <c r="K44" i="7"/>
  <c r="J44" i="7"/>
  <c r="I44" i="7"/>
  <c r="H44" i="7"/>
  <c r="G44" i="7"/>
  <c r="F44" i="7"/>
  <c r="E44" i="7"/>
  <c r="D44" i="7"/>
  <c r="C44" i="7"/>
  <c r="B44" i="7"/>
  <c r="A44" i="7"/>
  <c r="K43" i="7"/>
  <c r="J43" i="7"/>
  <c r="I43" i="7"/>
  <c r="H43" i="7"/>
  <c r="G43" i="7"/>
  <c r="F43" i="7"/>
  <c r="E43" i="7"/>
  <c r="D43" i="7"/>
  <c r="C43" i="7"/>
  <c r="B43" i="7"/>
  <c r="A43" i="7"/>
  <c r="K42" i="7"/>
  <c r="J42" i="7"/>
  <c r="I42" i="7"/>
  <c r="H42" i="7"/>
  <c r="G42" i="7"/>
  <c r="F42" i="7"/>
  <c r="E42" i="7"/>
  <c r="D42" i="7"/>
  <c r="C42" i="7"/>
  <c r="B42" i="7"/>
  <c r="A42" i="7"/>
  <c r="K41" i="7"/>
  <c r="J41" i="7"/>
  <c r="I41" i="7"/>
  <c r="H41" i="7"/>
  <c r="G41" i="7"/>
  <c r="F41" i="7"/>
  <c r="E41" i="7"/>
  <c r="D41" i="7"/>
  <c r="C41" i="7"/>
  <c r="B41" i="7"/>
  <c r="A41" i="7"/>
  <c r="K40" i="7"/>
  <c r="J40" i="7"/>
  <c r="I40" i="7"/>
  <c r="H40" i="7"/>
  <c r="G40" i="7"/>
  <c r="F40" i="7"/>
  <c r="E40" i="7"/>
  <c r="D40" i="7"/>
  <c r="C40" i="7"/>
  <c r="B40" i="7"/>
  <c r="A40" i="7"/>
  <c r="K39" i="7"/>
  <c r="J39" i="7"/>
  <c r="I39" i="7"/>
  <c r="H39" i="7"/>
  <c r="G39" i="7"/>
  <c r="F39" i="7"/>
  <c r="E39" i="7"/>
  <c r="D39" i="7"/>
  <c r="C39" i="7"/>
  <c r="B39" i="7"/>
  <c r="A39" i="7"/>
  <c r="K38" i="7"/>
  <c r="J38" i="7"/>
  <c r="I38" i="7"/>
  <c r="H38" i="7"/>
  <c r="G38" i="7"/>
  <c r="F38" i="7"/>
  <c r="E38" i="7"/>
  <c r="D38" i="7"/>
  <c r="C38" i="7"/>
  <c r="B38" i="7"/>
  <c r="A38" i="7"/>
  <c r="K37" i="7"/>
  <c r="F37" i="7"/>
  <c r="E37" i="7"/>
  <c r="D37" i="7"/>
  <c r="C37" i="7"/>
  <c r="B37" i="7"/>
  <c r="K36" i="7"/>
  <c r="F36" i="7"/>
  <c r="E36" i="7"/>
  <c r="D36" i="7"/>
  <c r="C36" i="7"/>
  <c r="B36" i="7"/>
  <c r="K35" i="7"/>
  <c r="F35" i="7"/>
  <c r="E35" i="7"/>
  <c r="D35" i="7"/>
  <c r="C35" i="7"/>
  <c r="B35" i="7"/>
  <c r="K34" i="7"/>
  <c r="F34" i="7"/>
  <c r="E34" i="7"/>
  <c r="D34" i="7"/>
  <c r="C34" i="7"/>
  <c r="B34" i="7"/>
  <c r="K33" i="7"/>
  <c r="F33" i="7"/>
  <c r="E33" i="7"/>
  <c r="D33" i="7"/>
  <c r="C33" i="7"/>
  <c r="B33" i="7"/>
  <c r="K32" i="7"/>
  <c r="F32" i="7"/>
  <c r="E32" i="7"/>
  <c r="D32" i="7"/>
  <c r="C32" i="7"/>
  <c r="B32" i="7"/>
  <c r="K31" i="7"/>
  <c r="F31" i="7"/>
  <c r="E31" i="7"/>
  <c r="D31" i="7"/>
  <c r="C31" i="7"/>
  <c r="B31" i="7"/>
  <c r="K30" i="7"/>
  <c r="F30" i="7"/>
  <c r="E30" i="7"/>
  <c r="D30" i="7"/>
  <c r="C30" i="7"/>
  <c r="B30" i="7"/>
  <c r="K29" i="7"/>
  <c r="F29" i="7"/>
  <c r="E29" i="7"/>
  <c r="D29" i="7"/>
  <c r="C29" i="7"/>
  <c r="B29" i="7"/>
  <c r="K28" i="7"/>
  <c r="F28" i="7"/>
  <c r="E28" i="7"/>
  <c r="D28" i="7"/>
  <c r="C28" i="7"/>
  <c r="B28" i="7"/>
  <c r="K27" i="7"/>
  <c r="F27" i="7"/>
  <c r="E27" i="7"/>
  <c r="D27" i="7"/>
  <c r="C27" i="7"/>
  <c r="B27" i="7"/>
  <c r="K26" i="7"/>
  <c r="F26" i="7"/>
  <c r="E26" i="7"/>
  <c r="D26" i="7"/>
  <c r="C26" i="7"/>
  <c r="B26" i="7"/>
  <c r="K25" i="7"/>
  <c r="F25" i="7"/>
  <c r="E25" i="7"/>
  <c r="D25" i="7"/>
  <c r="C25" i="7"/>
  <c r="B25" i="7"/>
  <c r="K24" i="7"/>
  <c r="F24" i="7"/>
  <c r="E24" i="7"/>
  <c r="D24" i="7"/>
  <c r="C24" i="7"/>
  <c r="B24" i="7"/>
  <c r="K23" i="7"/>
  <c r="F23" i="7"/>
  <c r="E23" i="7"/>
  <c r="D23" i="7"/>
  <c r="C23" i="7"/>
  <c r="B23" i="7"/>
  <c r="K22" i="7"/>
  <c r="F22" i="7"/>
  <c r="E22" i="7"/>
  <c r="D22" i="7"/>
  <c r="C22" i="7"/>
  <c r="B22" i="7"/>
  <c r="K21" i="7"/>
  <c r="F21" i="7"/>
  <c r="E21" i="7"/>
  <c r="D21" i="7"/>
  <c r="C21" i="7"/>
  <c r="B21" i="7"/>
  <c r="K20" i="7"/>
  <c r="F20" i="7"/>
  <c r="E20" i="7"/>
  <c r="D20" i="7"/>
  <c r="C20" i="7"/>
  <c r="B20" i="7"/>
  <c r="K19" i="7"/>
  <c r="F19" i="7"/>
  <c r="E19" i="7"/>
  <c r="D19" i="7"/>
  <c r="C19" i="7"/>
  <c r="B19" i="7"/>
  <c r="K18" i="7"/>
  <c r="F18" i="7"/>
  <c r="E18" i="7"/>
  <c r="D18" i="7"/>
  <c r="C18" i="7"/>
  <c r="B18" i="7"/>
  <c r="K17" i="7"/>
  <c r="F17" i="7"/>
  <c r="E17" i="7"/>
  <c r="D17" i="7"/>
  <c r="C17" i="7"/>
  <c r="B17" i="7"/>
  <c r="K16" i="7"/>
  <c r="F16" i="7"/>
  <c r="E16" i="7"/>
  <c r="D16" i="7"/>
  <c r="C16" i="7"/>
  <c r="B16" i="7"/>
  <c r="K15" i="7"/>
  <c r="F15" i="7"/>
  <c r="E15" i="7"/>
  <c r="D15" i="7"/>
  <c r="C15" i="7"/>
  <c r="B15" i="7"/>
  <c r="K14" i="7"/>
  <c r="F14" i="7"/>
  <c r="E14" i="7"/>
  <c r="D14" i="7"/>
  <c r="C14" i="7"/>
  <c r="B14" i="7"/>
  <c r="K13" i="7"/>
  <c r="F13" i="7"/>
  <c r="E13" i="7"/>
  <c r="D13" i="7"/>
  <c r="C13" i="7"/>
  <c r="B13" i="7"/>
  <c r="K12" i="7"/>
  <c r="F12" i="7"/>
  <c r="E12" i="7"/>
  <c r="D12" i="7"/>
  <c r="C12" i="7"/>
  <c r="B12" i="7"/>
  <c r="K11" i="7"/>
  <c r="F11" i="7"/>
  <c r="E11" i="7"/>
  <c r="D11" i="7"/>
  <c r="C11" i="7"/>
  <c r="B11" i="7"/>
  <c r="K10" i="7"/>
  <c r="F10" i="7"/>
  <c r="E10" i="7"/>
  <c r="D10" i="7"/>
  <c r="C10" i="7"/>
  <c r="B10" i="7"/>
  <c r="K9" i="7"/>
  <c r="F9" i="7"/>
  <c r="E9" i="7"/>
  <c r="D9" i="7"/>
  <c r="C9" i="7"/>
  <c r="B9" i="7"/>
  <c r="A6" i="7"/>
  <c r="F10" i="6"/>
  <c r="F9" i="6"/>
  <c r="I8" i="6"/>
  <c r="F8" i="6"/>
  <c r="I7" i="6"/>
  <c r="F7" i="6"/>
  <c r="I6" i="6"/>
  <c r="F6" i="6"/>
  <c r="F5" i="6"/>
  <c r="F4" i="6"/>
  <c r="F38" i="6" s="1"/>
  <c r="P86" i="1"/>
  <c r="O86" i="1"/>
  <c r="N86" i="1"/>
  <c r="F54" i="1"/>
  <c r="E54" i="1"/>
  <c r="D54" i="1"/>
  <c r="G54" i="1" s="1"/>
  <c r="C54" i="1"/>
  <c r="G53" i="1"/>
  <c r="F53" i="1"/>
  <c r="E53" i="1"/>
  <c r="D53" i="1"/>
  <c r="C53" i="1"/>
  <c r="F52" i="1"/>
  <c r="E52" i="1"/>
  <c r="D52" i="1"/>
  <c r="G52" i="1" s="1"/>
  <c r="C52" i="1"/>
  <c r="G51" i="1"/>
  <c r="F51" i="1"/>
  <c r="E51" i="1"/>
  <c r="D51" i="1"/>
  <c r="C51" i="1"/>
  <c r="F50" i="1"/>
  <c r="E50" i="1"/>
  <c r="D50" i="1"/>
  <c r="G50" i="1" s="1"/>
  <c r="C50" i="1"/>
  <c r="G49" i="1"/>
  <c r="F49" i="1"/>
  <c r="E49" i="1"/>
  <c r="D49" i="1"/>
  <c r="C49" i="1"/>
  <c r="F48" i="1"/>
  <c r="E48" i="1"/>
  <c r="D48" i="1"/>
  <c r="G48" i="1" s="1"/>
  <c r="C48" i="1"/>
  <c r="D47" i="1"/>
  <c r="C47" i="1"/>
  <c r="D46" i="1"/>
  <c r="C46" i="1"/>
  <c r="H41" i="1"/>
  <c r="G41" i="1"/>
  <c r="F41" i="1"/>
  <c r="E41" i="1"/>
  <c r="I41" i="1" s="1"/>
  <c r="D41" i="1"/>
  <c r="B41" i="1"/>
  <c r="C41" i="1" s="1"/>
  <c r="A41" i="1"/>
  <c r="H40" i="1"/>
  <c r="G40" i="1"/>
  <c r="F40" i="1"/>
  <c r="E40" i="1"/>
  <c r="I40" i="1" s="1"/>
  <c r="D40" i="1"/>
  <c r="C40" i="1"/>
  <c r="B40" i="1"/>
  <c r="M86" i="1" s="1"/>
  <c r="A40" i="1"/>
  <c r="F39" i="1"/>
  <c r="D39" i="1"/>
  <c r="C39" i="1"/>
  <c r="B39" i="1"/>
  <c r="P85" i="1" s="1"/>
  <c r="A39" i="1"/>
  <c r="E38" i="1"/>
  <c r="B38" i="1"/>
  <c r="I38" i="1" s="1"/>
  <c r="A38" i="1"/>
  <c r="D37" i="1"/>
  <c r="B37" i="1"/>
  <c r="N83" i="1" s="1"/>
  <c r="A37" i="1"/>
  <c r="I36" i="1"/>
  <c r="F36" i="1"/>
  <c r="E36" i="1"/>
  <c r="C36" i="1"/>
  <c r="B36" i="1"/>
  <c r="G36" i="1" s="1"/>
  <c r="A36" i="1"/>
  <c r="B35" i="1"/>
  <c r="F35" i="1" s="1"/>
  <c r="A35" i="1"/>
  <c r="H34" i="1"/>
  <c r="G34" i="1"/>
  <c r="D34" i="1"/>
  <c r="C34" i="1"/>
  <c r="B34" i="1"/>
  <c r="E34" i="1" s="1"/>
  <c r="I34" i="1" s="1"/>
  <c r="A34" i="1"/>
  <c r="H33" i="1"/>
  <c r="G33" i="1"/>
  <c r="F33" i="1"/>
  <c r="C33" i="1"/>
  <c r="B33" i="1"/>
  <c r="D33" i="1" s="1"/>
  <c r="A33" i="1"/>
  <c r="I32" i="1"/>
  <c r="G32" i="1"/>
  <c r="F32" i="1"/>
  <c r="E32" i="1"/>
  <c r="B32" i="1"/>
  <c r="C32" i="1" s="1"/>
  <c r="A32" i="1"/>
  <c r="H31" i="1"/>
  <c r="G31" i="1"/>
  <c r="F31" i="1"/>
  <c r="E31" i="1"/>
  <c r="I31" i="1" s="1"/>
  <c r="D31" i="1"/>
  <c r="B31" i="1"/>
  <c r="C31" i="1" s="1"/>
  <c r="A31" i="1"/>
  <c r="H30" i="1"/>
  <c r="G30" i="1"/>
  <c r="F30" i="1"/>
  <c r="E30" i="1"/>
  <c r="I30" i="1" s="1"/>
  <c r="D30" i="1"/>
  <c r="C30" i="1"/>
  <c r="B30" i="1"/>
  <c r="A30" i="1"/>
  <c r="F29" i="1"/>
  <c r="D29" i="1"/>
  <c r="C29" i="1"/>
  <c r="B29" i="1"/>
  <c r="A29" i="1"/>
  <c r="E28" i="1"/>
  <c r="B28" i="1"/>
  <c r="I28" i="1" s="1"/>
  <c r="A28" i="1"/>
  <c r="D27" i="1"/>
  <c r="B27" i="1"/>
  <c r="H27" i="1" s="1"/>
  <c r="A27" i="1"/>
  <c r="B26" i="1"/>
  <c r="A26" i="1"/>
  <c r="B25" i="1"/>
  <c r="F25" i="1" s="1"/>
  <c r="A25" i="1"/>
  <c r="B24" i="1"/>
  <c r="A24" i="1"/>
  <c r="C23" i="1"/>
  <c r="B23" i="1"/>
  <c r="D23" i="1" s="1"/>
  <c r="A23" i="1"/>
  <c r="E22" i="1"/>
  <c r="B22" i="1"/>
  <c r="C22" i="1" s="1"/>
  <c r="A22" i="1"/>
  <c r="E21" i="1"/>
  <c r="D21" i="1"/>
  <c r="B21" i="1"/>
  <c r="C21" i="1" s="1"/>
  <c r="A21" i="1"/>
  <c r="E20" i="1"/>
  <c r="D20" i="1"/>
  <c r="C20" i="1"/>
  <c r="B20" i="1"/>
  <c r="A20" i="1"/>
  <c r="E19" i="1"/>
  <c r="D19" i="1"/>
  <c r="C19" i="1"/>
  <c r="B19" i="1"/>
  <c r="A19" i="1"/>
  <c r="B18" i="1"/>
  <c r="A18" i="1"/>
  <c r="B17" i="1"/>
  <c r="A17" i="1"/>
  <c r="C16" i="1"/>
  <c r="B16" i="1"/>
  <c r="G16" i="1" s="1"/>
  <c r="A16" i="1"/>
  <c r="B15" i="1"/>
  <c r="F15" i="1" s="1"/>
  <c r="A15" i="1"/>
  <c r="D14" i="1"/>
  <c r="C14" i="1"/>
  <c r="B14" i="1"/>
  <c r="E14" i="1" s="1"/>
  <c r="A14" i="1"/>
  <c r="C13" i="1"/>
  <c r="B13" i="1"/>
  <c r="D13" i="1" s="1"/>
  <c r="A13" i="1"/>
  <c r="E12" i="1"/>
  <c r="B12" i="1"/>
  <c r="C12" i="1" s="1"/>
  <c r="A12" i="1"/>
  <c r="A5" i="1"/>
  <c r="X103" i="2"/>
  <c r="S103" i="2"/>
  <c r="P103" i="2"/>
  <c r="M103" i="2"/>
  <c r="J103" i="2"/>
  <c r="G103" i="2"/>
  <c r="F103" i="2"/>
  <c r="AC102" i="2"/>
  <c r="X102" i="2"/>
  <c r="W102" i="2"/>
  <c r="V102" i="2"/>
  <c r="A102" i="2"/>
  <c r="AC101" i="2"/>
  <c r="X101" i="2"/>
  <c r="W101" i="2"/>
  <c r="V101" i="2"/>
  <c r="A101" i="2"/>
  <c r="AC100" i="2"/>
  <c r="X100" i="2"/>
  <c r="W100" i="2"/>
  <c r="V100" i="2"/>
  <c r="A100" i="2"/>
  <c r="AC99" i="2"/>
  <c r="X99" i="2"/>
  <c r="W99" i="2"/>
  <c r="V99" i="2"/>
  <c r="A99" i="2"/>
  <c r="AC98" i="2"/>
  <c r="X98" i="2"/>
  <c r="W98" i="2"/>
  <c r="V98" i="2"/>
  <c r="A98" i="2"/>
  <c r="AC97" i="2"/>
  <c r="X97" i="2"/>
  <c r="W97" i="2"/>
  <c r="V97" i="2"/>
  <c r="A97" i="2"/>
  <c r="AC96" i="2"/>
  <c r="X96" i="2"/>
  <c r="W96" i="2"/>
  <c r="V96" i="2"/>
  <c r="A96" i="2"/>
  <c r="AC95" i="2"/>
  <c r="X95" i="2"/>
  <c r="W95" i="2"/>
  <c r="V95" i="2"/>
  <c r="A95" i="2"/>
  <c r="AC94" i="2"/>
  <c r="X94" i="2"/>
  <c r="W94" i="2"/>
  <c r="V94" i="2"/>
  <c r="A94" i="2"/>
  <c r="AC93" i="2"/>
  <c r="X93" i="2"/>
  <c r="W93" i="2"/>
  <c r="V93" i="2"/>
  <c r="A93" i="2"/>
  <c r="AC92" i="2"/>
  <c r="X92" i="2"/>
  <c r="W92" i="2"/>
  <c r="V92" i="2"/>
  <c r="A92" i="2"/>
  <c r="AC91" i="2"/>
  <c r="X91" i="2"/>
  <c r="W91" i="2"/>
  <c r="V91" i="2"/>
  <c r="A91" i="2"/>
  <c r="AC90" i="2"/>
  <c r="X90" i="2"/>
  <c r="W90" i="2"/>
  <c r="V90" i="2"/>
  <c r="A90" i="2"/>
  <c r="AC89" i="2"/>
  <c r="X89" i="2"/>
  <c r="W89" i="2"/>
  <c r="V89" i="2"/>
  <c r="A89" i="2"/>
  <c r="AC88" i="2"/>
  <c r="X88" i="2"/>
  <c r="W88" i="2"/>
  <c r="V88" i="2"/>
  <c r="A88" i="2"/>
  <c r="AC87" i="2"/>
  <c r="X87" i="2"/>
  <c r="W87" i="2"/>
  <c r="V87" i="2"/>
  <c r="A87" i="2"/>
  <c r="AC86" i="2"/>
  <c r="X86" i="2"/>
  <c r="W86" i="2"/>
  <c r="V86" i="2"/>
  <c r="A86" i="2"/>
  <c r="AC85" i="2"/>
  <c r="X85" i="2"/>
  <c r="W85" i="2"/>
  <c r="V85" i="2"/>
  <c r="A85" i="2"/>
  <c r="AC84" i="2"/>
  <c r="X84" i="2"/>
  <c r="W84" i="2"/>
  <c r="V84" i="2"/>
  <c r="A84" i="2"/>
  <c r="AC83" i="2"/>
  <c r="X83" i="2"/>
  <c r="W83" i="2"/>
  <c r="V83" i="2"/>
  <c r="A83" i="2"/>
  <c r="AC82" i="2"/>
  <c r="X82" i="2"/>
  <c r="W82" i="2"/>
  <c r="V82" i="2"/>
  <c r="A82" i="2"/>
  <c r="AC81" i="2"/>
  <c r="X81" i="2"/>
  <c r="W81" i="2"/>
  <c r="V81" i="2"/>
  <c r="A81" i="2"/>
  <c r="AC80" i="2"/>
  <c r="X80" i="2"/>
  <c r="W80" i="2"/>
  <c r="V80" i="2"/>
  <c r="A80" i="2"/>
  <c r="AC79" i="2"/>
  <c r="X79" i="2"/>
  <c r="W79" i="2"/>
  <c r="V79" i="2"/>
  <c r="A79" i="2"/>
  <c r="AC78" i="2"/>
  <c r="X78" i="2"/>
  <c r="W78" i="2"/>
  <c r="V78" i="2"/>
  <c r="A78" i="2"/>
  <c r="AC77" i="2"/>
  <c r="X77" i="2"/>
  <c r="W77" i="2"/>
  <c r="V77" i="2"/>
  <c r="A77" i="2"/>
  <c r="AC76" i="2"/>
  <c r="X76" i="2"/>
  <c r="W76" i="2"/>
  <c r="V76" i="2"/>
  <c r="A76" i="2"/>
  <c r="AC75" i="2"/>
  <c r="X75" i="2"/>
  <c r="W75" i="2"/>
  <c r="V75" i="2"/>
  <c r="A75" i="2"/>
  <c r="AC74" i="2"/>
  <c r="X74" i="2"/>
  <c r="W74" i="2"/>
  <c r="V74" i="2"/>
  <c r="A74" i="2"/>
  <c r="AC73" i="2"/>
  <c r="X73" i="2"/>
  <c r="W73" i="2"/>
  <c r="V73" i="2"/>
  <c r="A73" i="2"/>
  <c r="AC72" i="2"/>
  <c r="X72" i="2"/>
  <c r="W72" i="2"/>
  <c r="V72" i="2"/>
  <c r="A72" i="2"/>
  <c r="AC71" i="2"/>
  <c r="X71" i="2"/>
  <c r="W71" i="2"/>
  <c r="V71" i="2"/>
  <c r="A71" i="2"/>
  <c r="AC70" i="2"/>
  <c r="X70" i="2"/>
  <c r="W70" i="2"/>
  <c r="V70" i="2"/>
  <c r="A70" i="2"/>
  <c r="AC69" i="2"/>
  <c r="X69" i="2"/>
  <c r="W69" i="2"/>
  <c r="V69" i="2"/>
  <c r="A69" i="2"/>
  <c r="AC68" i="2"/>
  <c r="X68" i="2"/>
  <c r="W68" i="2"/>
  <c r="V68" i="2"/>
  <c r="A68" i="2"/>
  <c r="AC67" i="2"/>
  <c r="X67" i="2"/>
  <c r="W67" i="2"/>
  <c r="V67" i="2"/>
  <c r="A67" i="2"/>
  <c r="AC66" i="2"/>
  <c r="X66" i="2"/>
  <c r="W66" i="2"/>
  <c r="V66" i="2"/>
  <c r="A66" i="2"/>
  <c r="AC65" i="2"/>
  <c r="X65" i="2"/>
  <c r="W65" i="2"/>
  <c r="V65" i="2"/>
  <c r="A65" i="2"/>
  <c r="AC64" i="2"/>
  <c r="X64" i="2"/>
  <c r="W64" i="2"/>
  <c r="V64" i="2"/>
  <c r="A64" i="2"/>
  <c r="AC63" i="2"/>
  <c r="X63" i="2"/>
  <c r="W63" i="2"/>
  <c r="V63" i="2"/>
  <c r="A63" i="2"/>
  <c r="AC62" i="2"/>
  <c r="X62" i="2"/>
  <c r="W62" i="2"/>
  <c r="V62" i="2"/>
  <c r="A62" i="2"/>
  <c r="AC61" i="2"/>
  <c r="X61" i="2"/>
  <c r="W61" i="2"/>
  <c r="V61" i="2"/>
  <c r="A61" i="2"/>
  <c r="AC60" i="2"/>
  <c r="X60" i="2"/>
  <c r="W60" i="2"/>
  <c r="V60" i="2"/>
  <c r="A60" i="2"/>
  <c r="AC59" i="2"/>
  <c r="X59" i="2"/>
  <c r="W59" i="2"/>
  <c r="V59" i="2"/>
  <c r="A59" i="2"/>
  <c r="AC58" i="2"/>
  <c r="X58" i="2"/>
  <c r="W58" i="2"/>
  <c r="V58" i="2"/>
  <c r="A58" i="2"/>
  <c r="AC57" i="2"/>
  <c r="X57" i="2"/>
  <c r="W57" i="2"/>
  <c r="V57" i="2"/>
  <c r="A57" i="2"/>
  <c r="AC56" i="2"/>
  <c r="X56" i="2"/>
  <c r="W56" i="2"/>
  <c r="V56" i="2"/>
  <c r="A56" i="2"/>
  <c r="AC55" i="2"/>
  <c r="X55" i="2"/>
  <c r="W55" i="2"/>
  <c r="V55" i="2"/>
  <c r="A55" i="2"/>
  <c r="AC54" i="2"/>
  <c r="X54" i="2"/>
  <c r="W54" i="2"/>
  <c r="V54" i="2"/>
  <c r="A54" i="2"/>
  <c r="AC53" i="2"/>
  <c r="X53" i="2"/>
  <c r="W53" i="2"/>
  <c r="V53" i="2"/>
  <c r="A53" i="2"/>
  <c r="AC52" i="2"/>
  <c r="X52" i="2"/>
  <c r="W52" i="2"/>
  <c r="V52" i="2"/>
  <c r="A52" i="2"/>
  <c r="AC51" i="2"/>
  <c r="X51" i="2"/>
  <c r="W51" i="2"/>
  <c r="V51" i="2"/>
  <c r="A51" i="2"/>
  <c r="AC50" i="2"/>
  <c r="X50" i="2"/>
  <c r="W50" i="2"/>
  <c r="V50" i="2"/>
  <c r="A50" i="2"/>
  <c r="AC49" i="2"/>
  <c r="X49" i="2"/>
  <c r="W49" i="2"/>
  <c r="V49" i="2"/>
  <c r="A49" i="2"/>
  <c r="AC48" i="2"/>
  <c r="X48" i="2"/>
  <c r="W48" i="2"/>
  <c r="V48" i="2"/>
  <c r="A48" i="2"/>
  <c r="AC47" i="2"/>
  <c r="X47" i="2"/>
  <c r="W47" i="2"/>
  <c r="V47" i="2"/>
  <c r="A47" i="2"/>
  <c r="AC46" i="2"/>
  <c r="X46" i="2"/>
  <c r="W46" i="2"/>
  <c r="V46" i="2"/>
  <c r="A46" i="2"/>
  <c r="AC45" i="2"/>
  <c r="X45" i="2"/>
  <c r="W45" i="2"/>
  <c r="V45" i="2"/>
  <c r="A45" i="2"/>
  <c r="AC44" i="2"/>
  <c r="X44" i="2"/>
  <c r="W44" i="2"/>
  <c r="V44" i="2"/>
  <c r="A44" i="2"/>
  <c r="AC43" i="2"/>
  <c r="X43" i="2"/>
  <c r="W43" i="2"/>
  <c r="V43" i="2"/>
  <c r="A43" i="2"/>
  <c r="AC42" i="2"/>
  <c r="X42" i="2"/>
  <c r="W42" i="2"/>
  <c r="V42" i="2"/>
  <c r="A42" i="2"/>
  <c r="AC41" i="2"/>
  <c r="X41" i="2"/>
  <c r="W41" i="2"/>
  <c r="V41" i="2"/>
  <c r="A41" i="2"/>
  <c r="AC40" i="2"/>
  <c r="X40" i="2"/>
  <c r="W40" i="2"/>
  <c r="V40" i="2"/>
  <c r="A40" i="2"/>
  <c r="AC39" i="2"/>
  <c r="X39" i="2"/>
  <c r="W39" i="2"/>
  <c r="V39" i="2"/>
  <c r="A39" i="2"/>
  <c r="AC38" i="2"/>
  <c r="X38" i="2"/>
  <c r="W38" i="2"/>
  <c r="V38" i="2"/>
  <c r="A38" i="2"/>
  <c r="AC37" i="2"/>
  <c r="X37" i="2"/>
  <c r="W37" i="2"/>
  <c r="V37" i="2"/>
  <c r="A37" i="2"/>
  <c r="AC36" i="2"/>
  <c r="X36" i="2"/>
  <c r="W36" i="2"/>
  <c r="V36" i="2"/>
  <c r="A36" i="2"/>
  <c r="AC35" i="2"/>
  <c r="X35" i="2"/>
  <c r="W35" i="2"/>
  <c r="V35" i="2"/>
  <c r="A35" i="2"/>
  <c r="AC34" i="2"/>
  <c r="X34" i="2"/>
  <c r="W34" i="2"/>
  <c r="V34" i="2"/>
  <c r="A34" i="2"/>
  <c r="AC33" i="2"/>
  <c r="H37" i="7" s="1"/>
  <c r="V33" i="2"/>
  <c r="G37" i="7" s="1"/>
  <c r="A33" i="2"/>
  <c r="A37" i="7" s="1"/>
  <c r="AC32" i="2"/>
  <c r="H36" i="7" s="1"/>
  <c r="V32" i="2"/>
  <c r="W32" i="2" s="1"/>
  <c r="I36" i="7" s="1"/>
  <c r="A32" i="2"/>
  <c r="A36" i="7" s="1"/>
  <c r="AC31" i="2"/>
  <c r="H35" i="7" s="1"/>
  <c r="V31" i="2"/>
  <c r="G35" i="7" s="1"/>
  <c r="A31" i="2"/>
  <c r="A35" i="7" s="1"/>
  <c r="AC30" i="2"/>
  <c r="H34" i="7" s="1"/>
  <c r="V30" i="2"/>
  <c r="W30" i="2" s="1"/>
  <c r="I34" i="7" s="1"/>
  <c r="A30" i="2"/>
  <c r="A34" i="7" s="1"/>
  <c r="AC29" i="2"/>
  <c r="H33" i="7" s="1"/>
  <c r="V29" i="2"/>
  <c r="X29" i="2" s="1"/>
  <c r="J33" i="7" s="1"/>
  <c r="A29" i="2"/>
  <c r="A33" i="7" s="1"/>
  <c r="AC28" i="2"/>
  <c r="H32" i="7" s="1"/>
  <c r="V28" i="2"/>
  <c r="W28" i="2" s="1"/>
  <c r="I32" i="7" s="1"/>
  <c r="A28" i="2"/>
  <c r="A32" i="7" s="1"/>
  <c r="AC27" i="2"/>
  <c r="H31" i="7" s="1"/>
  <c r="V27" i="2"/>
  <c r="X27" i="2" s="1"/>
  <c r="J31" i="7" s="1"/>
  <c r="A27" i="2"/>
  <c r="A31" i="7" s="1"/>
  <c r="AC26" i="2"/>
  <c r="H30" i="7" s="1"/>
  <c r="V26" i="2"/>
  <c r="W26" i="2" s="1"/>
  <c r="I30" i="7" s="1"/>
  <c r="A26" i="2"/>
  <c r="A30" i="7" s="1"/>
  <c r="AC25" i="2"/>
  <c r="H29" i="7" s="1"/>
  <c r="V25" i="2"/>
  <c r="X25" i="2" s="1"/>
  <c r="J29" i="7" s="1"/>
  <c r="A25" i="2"/>
  <c r="A29" i="7" s="1"/>
  <c r="AC24" i="2"/>
  <c r="H28" i="7" s="1"/>
  <c r="V24" i="2"/>
  <c r="G28" i="7" s="1"/>
  <c r="A24" i="2"/>
  <c r="A28" i="7" s="1"/>
  <c r="AC23" i="2"/>
  <c r="H27" i="7" s="1"/>
  <c r="V23" i="2"/>
  <c r="G27" i="7" s="1"/>
  <c r="A23" i="2"/>
  <c r="A27" i="7" s="1"/>
  <c r="AC22" i="2"/>
  <c r="H26" i="7" s="1"/>
  <c r="V22" i="2"/>
  <c r="W22" i="2" s="1"/>
  <c r="I26" i="7" s="1"/>
  <c r="A22" i="2"/>
  <c r="A26" i="7" s="1"/>
  <c r="AC21" i="2"/>
  <c r="H25" i="7" s="1"/>
  <c r="V21" i="2"/>
  <c r="G25" i="7" s="1"/>
  <c r="A21" i="2"/>
  <c r="A25" i="7" s="1"/>
  <c r="AC20" i="2"/>
  <c r="H24" i="7" s="1"/>
  <c r="V20" i="2"/>
  <c r="W20" i="2" s="1"/>
  <c r="I24" i="7" s="1"/>
  <c r="A20" i="2"/>
  <c r="A24" i="7" s="1"/>
  <c r="AC19" i="2"/>
  <c r="H23" i="7" s="1"/>
  <c r="V19" i="2"/>
  <c r="X19" i="2" s="1"/>
  <c r="J23" i="7" s="1"/>
  <c r="A19" i="2"/>
  <c r="A23" i="7" s="1"/>
  <c r="AC18" i="2"/>
  <c r="H22" i="7" s="1"/>
  <c r="V18" i="2"/>
  <c r="W18" i="2" s="1"/>
  <c r="I22" i="7" s="1"/>
  <c r="A18" i="2"/>
  <c r="A22" i="7" s="1"/>
  <c r="AC17" i="2"/>
  <c r="H21" i="7" s="1"/>
  <c r="V17" i="2"/>
  <c r="F19" i="1" s="1"/>
  <c r="A17" i="2"/>
  <c r="A21" i="7" s="1"/>
  <c r="AC16" i="2"/>
  <c r="H20" i="7" s="1"/>
  <c r="V16" i="2"/>
  <c r="W16" i="2" s="1"/>
  <c r="I20" i="7" s="1"/>
  <c r="A16" i="2"/>
  <c r="A20" i="7" s="1"/>
  <c r="AC15" i="2"/>
  <c r="H19" i="7" s="1"/>
  <c r="V15" i="2"/>
  <c r="X15" i="2" s="1"/>
  <c r="J19" i="7" s="1"/>
  <c r="A15" i="2"/>
  <c r="A19" i="7" s="1"/>
  <c r="AC14" i="2"/>
  <c r="G20" i="1" s="1"/>
  <c r="V14" i="2"/>
  <c r="G18" i="7" s="1"/>
  <c r="A14" i="2"/>
  <c r="A18" i="7" s="1"/>
  <c r="AC13" i="2"/>
  <c r="H17" i="7" s="1"/>
  <c r="V13" i="2"/>
  <c r="G17" i="7" s="1"/>
  <c r="A13" i="2"/>
  <c r="A17" i="7" s="1"/>
  <c r="AC12" i="2"/>
  <c r="H16" i="7" s="1"/>
  <c r="V12" i="2"/>
  <c r="W12" i="2" s="1"/>
  <c r="I16" i="7" s="1"/>
  <c r="A12" i="2"/>
  <c r="A16" i="7" s="1"/>
  <c r="AC11" i="2"/>
  <c r="H15" i="7" s="1"/>
  <c r="V11" i="2"/>
  <c r="G15" i="7" s="1"/>
  <c r="A11" i="2"/>
  <c r="A15" i="7" s="1"/>
  <c r="AC10" i="2"/>
  <c r="H14" i="7" s="1"/>
  <c r="V10" i="2"/>
  <c r="W10" i="2" s="1"/>
  <c r="I14" i="7" s="1"/>
  <c r="A10" i="2"/>
  <c r="A14" i="7" s="1"/>
  <c r="AC9" i="2"/>
  <c r="H13" i="7" s="1"/>
  <c r="V9" i="2"/>
  <c r="X9" i="2" s="1"/>
  <c r="J13" i="7" s="1"/>
  <c r="H9" i="2"/>
  <c r="A9" i="2"/>
  <c r="A13" i="7" s="1"/>
  <c r="AC8" i="2"/>
  <c r="W8" i="2" s="1"/>
  <c r="I12" i="7" s="1"/>
  <c r="V8" i="2"/>
  <c r="X8" i="2" s="1"/>
  <c r="J12" i="7" s="1"/>
  <c r="A8" i="2"/>
  <c r="A12" i="7" s="1"/>
  <c r="AC7" i="2"/>
  <c r="W7" i="2" s="1"/>
  <c r="I11" i="7" s="1"/>
  <c r="V7" i="2"/>
  <c r="X7" i="2" s="1"/>
  <c r="J11" i="7" s="1"/>
  <c r="A7" i="2"/>
  <c r="A11" i="7" s="1"/>
  <c r="AC6" i="2"/>
  <c r="W6" i="2" s="1"/>
  <c r="I10" i="7" s="1"/>
  <c r="V6" i="2"/>
  <c r="X6" i="2" s="1"/>
  <c r="J10" i="7" s="1"/>
  <c r="A6" i="2"/>
  <c r="A10" i="7" s="1"/>
  <c r="H5" i="2"/>
  <c r="AC5" i="2" s="1"/>
  <c r="A5" i="2"/>
  <c r="A9" i="7" s="1"/>
  <c r="G26" i="1" l="1"/>
  <c r="F26" i="1"/>
  <c r="E26" i="1"/>
  <c r="I26" i="1" s="1"/>
  <c r="C26" i="1"/>
  <c r="E24" i="1"/>
  <c r="D24" i="1"/>
  <c r="C24" i="1"/>
  <c r="I19" i="1"/>
  <c r="I24" i="1"/>
  <c r="G46" i="1"/>
  <c r="H109" i="7"/>
  <c r="E5" i="1"/>
  <c r="M58" i="1" s="1"/>
  <c r="G12" i="1"/>
  <c r="H9" i="7"/>
  <c r="C6" i="7"/>
  <c r="AC103" i="2"/>
  <c r="F47" i="1"/>
  <c r="X10" i="2"/>
  <c r="J14" i="7" s="1"/>
  <c r="X12" i="2"/>
  <c r="J16" i="7" s="1"/>
  <c r="X14" i="2"/>
  <c r="J18" i="7" s="1"/>
  <c r="X16" i="2"/>
  <c r="J20" i="7" s="1"/>
  <c r="X18" i="2"/>
  <c r="J22" i="7" s="1"/>
  <c r="X20" i="2"/>
  <c r="J24" i="7" s="1"/>
  <c r="X22" i="2"/>
  <c r="J26" i="7" s="1"/>
  <c r="X24" i="2"/>
  <c r="J28" i="7" s="1"/>
  <c r="X26" i="2"/>
  <c r="J30" i="7" s="1"/>
  <c r="X28" i="2"/>
  <c r="J32" i="7" s="1"/>
  <c r="X30" i="2"/>
  <c r="J34" i="7" s="1"/>
  <c r="X32" i="2"/>
  <c r="J36" i="7" s="1"/>
  <c r="D12" i="1"/>
  <c r="E13" i="1"/>
  <c r="F14" i="1"/>
  <c r="I14" i="1" s="1"/>
  <c r="G15" i="1"/>
  <c r="I17" i="1"/>
  <c r="D22" i="1"/>
  <c r="E23" i="1"/>
  <c r="F24" i="1"/>
  <c r="G25" i="1"/>
  <c r="H26" i="1"/>
  <c r="I27" i="1"/>
  <c r="D32" i="1"/>
  <c r="E33" i="1"/>
  <c r="F34" i="1"/>
  <c r="G35" i="1"/>
  <c r="H36" i="1"/>
  <c r="M81" i="1"/>
  <c r="O83" i="1"/>
  <c r="H18" i="7"/>
  <c r="G19" i="7"/>
  <c r="G29" i="7"/>
  <c r="F13" i="1"/>
  <c r="G14" i="1"/>
  <c r="H15" i="1"/>
  <c r="F23" i="1"/>
  <c r="G24" i="1"/>
  <c r="H35" i="1"/>
  <c r="N81" i="1"/>
  <c r="P83" i="1"/>
  <c r="G10" i="7"/>
  <c r="G20" i="7"/>
  <c r="G30" i="7"/>
  <c r="V5" i="2"/>
  <c r="G13" i="1"/>
  <c r="F22" i="1"/>
  <c r="I22" i="1" s="1"/>
  <c r="G23" i="1"/>
  <c r="I35" i="1"/>
  <c r="O81" i="1"/>
  <c r="M84" i="1"/>
  <c r="H10" i="7"/>
  <c r="G11" i="7"/>
  <c r="G21" i="7"/>
  <c r="G31" i="7"/>
  <c r="C18" i="1"/>
  <c r="F21" i="1"/>
  <c r="I21" i="1" s="1"/>
  <c r="G22" i="1"/>
  <c r="H22" i="1" s="1"/>
  <c r="C28" i="1"/>
  <c r="C38" i="1"/>
  <c r="P81" i="1"/>
  <c r="N84" i="1"/>
  <c r="H11" i="7"/>
  <c r="G12" i="7"/>
  <c r="G22" i="7"/>
  <c r="G32" i="7"/>
  <c r="W9" i="2"/>
  <c r="I13" i="7" s="1"/>
  <c r="W11" i="2"/>
  <c r="I15" i="7" s="1"/>
  <c r="W13" i="2"/>
  <c r="I17" i="7" s="1"/>
  <c r="W15" i="2"/>
  <c r="I19" i="7" s="1"/>
  <c r="W17" i="2"/>
  <c r="I21" i="7" s="1"/>
  <c r="W19" i="2"/>
  <c r="I23" i="7" s="1"/>
  <c r="W21" i="2"/>
  <c r="I25" i="7" s="1"/>
  <c r="W23" i="2"/>
  <c r="I27" i="7" s="1"/>
  <c r="W25" i="2"/>
  <c r="I29" i="7" s="1"/>
  <c r="W27" i="2"/>
  <c r="I31" i="7" s="1"/>
  <c r="W29" i="2"/>
  <c r="I33" i="7" s="1"/>
  <c r="W31" i="2"/>
  <c r="I35" i="7" s="1"/>
  <c r="W33" i="2"/>
  <c r="I37" i="7" s="1"/>
  <c r="C17" i="1"/>
  <c r="D18" i="1"/>
  <c r="F20" i="1"/>
  <c r="I20" i="1" s="1"/>
  <c r="G21" i="1"/>
  <c r="I23" i="1"/>
  <c r="C27" i="1"/>
  <c r="D28" i="1"/>
  <c r="E29" i="1"/>
  <c r="I29" i="1" s="1"/>
  <c r="H32" i="1"/>
  <c r="I33" i="1"/>
  <c r="C37" i="1"/>
  <c r="D38" i="1"/>
  <c r="E39" i="1"/>
  <c r="E46" i="1"/>
  <c r="M82" i="1"/>
  <c r="O84" i="1"/>
  <c r="H12" i="7"/>
  <c r="G13" i="7"/>
  <c r="G23" i="7"/>
  <c r="G33" i="7"/>
  <c r="X11" i="2"/>
  <c r="J15" i="7" s="1"/>
  <c r="X13" i="2"/>
  <c r="J17" i="7" s="1"/>
  <c r="X17" i="2"/>
  <c r="J21" i="7" s="1"/>
  <c r="X21" i="2"/>
  <c r="J25" i="7" s="1"/>
  <c r="X23" i="2"/>
  <c r="J27" i="7" s="1"/>
  <c r="X31" i="2"/>
  <c r="J35" i="7" s="1"/>
  <c r="X33" i="2"/>
  <c r="J37" i="7" s="1"/>
  <c r="D17" i="1"/>
  <c r="E18" i="1"/>
  <c r="I18" i="1" s="1"/>
  <c r="H21" i="1"/>
  <c r="F46" i="1"/>
  <c r="N82" i="1"/>
  <c r="P84" i="1"/>
  <c r="I9" i="6"/>
  <c r="G14" i="7"/>
  <c r="G24" i="7"/>
  <c r="G34" i="7"/>
  <c r="C15" i="1"/>
  <c r="D16" i="1"/>
  <c r="E17" i="1"/>
  <c r="H17" i="1" s="1"/>
  <c r="F18" i="1"/>
  <c r="G19" i="1"/>
  <c r="C25" i="1"/>
  <c r="D26" i="1"/>
  <c r="E27" i="1"/>
  <c r="F28" i="1"/>
  <c r="G29" i="1"/>
  <c r="C35" i="1"/>
  <c r="D36" i="1"/>
  <c r="E37" i="1"/>
  <c r="I37" i="1" s="1"/>
  <c r="F38" i="1"/>
  <c r="G39" i="1"/>
  <c r="O82" i="1"/>
  <c r="M85" i="1"/>
  <c r="D15" i="1"/>
  <c r="E16" i="1"/>
  <c r="I16" i="1" s="1"/>
  <c r="F17" i="1"/>
  <c r="G18" i="1"/>
  <c r="H19" i="1"/>
  <c r="D25" i="1"/>
  <c r="F27" i="1"/>
  <c r="G28" i="1"/>
  <c r="H29" i="1"/>
  <c r="D35" i="1"/>
  <c r="F37" i="1"/>
  <c r="G38" i="1"/>
  <c r="H39" i="1"/>
  <c r="P82" i="1"/>
  <c r="N85" i="1"/>
  <c r="I5" i="6"/>
  <c r="G16" i="7"/>
  <c r="G26" i="7"/>
  <c r="G36" i="7"/>
  <c r="M83" i="1"/>
  <c r="O85" i="1"/>
  <c r="E15" i="1"/>
  <c r="I15" i="1" s="1"/>
  <c r="F16" i="1"/>
  <c r="H16" i="1" s="1"/>
  <c r="G17" i="1"/>
  <c r="H18" i="1"/>
  <c r="E25" i="1"/>
  <c r="G27" i="1"/>
  <c r="H28" i="1"/>
  <c r="E35" i="1"/>
  <c r="G37" i="1"/>
  <c r="H38" i="1"/>
  <c r="I39" i="1"/>
  <c r="W14" i="2"/>
  <c r="I18" i="7" s="1"/>
  <c r="W24" i="2"/>
  <c r="I28" i="7" s="1"/>
  <c r="H37" i="1"/>
  <c r="I25" i="1" l="1"/>
  <c r="H25" i="1"/>
  <c r="H24" i="1"/>
  <c r="I13" i="1"/>
  <c r="H13" i="1"/>
  <c r="E42" i="1"/>
  <c r="G42" i="1"/>
  <c r="H20" i="1"/>
  <c r="H23" i="1"/>
  <c r="H14" i="1"/>
  <c r="I10" i="6"/>
  <c r="E47" i="1"/>
  <c r="G47" i="1" s="1"/>
  <c r="V103" i="2"/>
  <c r="G109" i="7"/>
  <c r="J109" i="7" s="1"/>
  <c r="I4" i="6"/>
  <c r="X5" i="2"/>
  <c r="J9" i="7" s="1"/>
  <c r="W5" i="2"/>
  <c r="C5" i="1"/>
  <c r="F12" i="1"/>
  <c r="G9" i="7"/>
  <c r="B6" i="7"/>
  <c r="D6" i="7" l="1"/>
  <c r="E6" i="7"/>
  <c r="M57" i="1"/>
  <c r="I5" i="1"/>
  <c r="G5" i="1"/>
  <c r="M59" i="1" s="1"/>
  <c r="F42" i="1"/>
  <c r="I42" i="1" s="1"/>
  <c r="I12" i="1"/>
  <c r="H12" i="1"/>
  <c r="H42" i="1" s="1"/>
  <c r="W103" i="2"/>
  <c r="I109" i="7"/>
  <c r="I9" i="7"/>
</calcChain>
</file>

<file path=xl/sharedStrings.xml><?xml version="1.0" encoding="utf-8"?>
<sst xmlns="http://schemas.openxmlformats.org/spreadsheetml/2006/main" count="915" uniqueCount="514">
  <si>
    <t>HITECH CONSTRUCTION COMPANY LIMITED</t>
  </si>
  <si>
    <t>ESG &amp; ESAP  ·  SERVICE PROVIDER PAYMENTS DASHBOARD</t>
  </si>
  <si>
    <t>TOTAL COMMITTED</t>
  </si>
  <si>
    <t>TOTAL PAID</t>
  </si>
  <si>
    <t>PIPELINE</t>
  </si>
  <si>
    <t>UNSCHEDULED</t>
  </si>
  <si>
    <t>PAYMENT RATE</t>
  </si>
  <si>
    <t xml:space="preserve">  Pipeline = upcoming scheduled amounts  ·  Unscheduled = committed - paid - pipeline  ·  Date = paid, No date = pipeline</t>
  </si>
  <si>
    <t xml:space="preserve">  PAYMENT SUMMARY BY SERVICE PROVIDER</t>
  </si>
  <si>
    <t>#</t>
  </si>
  <si>
    <t>Service Provider</t>
  </si>
  <si>
    <t>Category</t>
  </si>
  <si>
    <t>Project</t>
  </si>
  <si>
    <t>Contract (₦)</t>
  </si>
  <si>
    <t>Paid (₦)</t>
  </si>
  <si>
    <t>Pipeline (₦)</t>
  </si>
  <si>
    <t>Unscheduled (₦)</t>
  </si>
  <si>
    <t>% Paid</t>
  </si>
  <si>
    <t xml:space="preserve">  TOTAL</t>
  </si>
  <si>
    <t xml:space="preserve">  PROJECT COVERAGE</t>
  </si>
  <si>
    <t># Lines</t>
  </si>
  <si>
    <t>LCCH SEC 1</t>
  </si>
  <si>
    <t>LCCH SEC 1&amp;2</t>
  </si>
  <si>
    <t>LCCH SEC 2</t>
  </si>
  <si>
    <t>LCCH SEC 3</t>
  </si>
  <si>
    <t>LCCH SEC 4</t>
  </si>
  <si>
    <t>LCCH SEC 5</t>
  </si>
  <si>
    <t>SBS SOKOTO</t>
  </si>
  <si>
    <t>SBS KEBBI</t>
  </si>
  <si>
    <t>TRANS SAHARA</t>
  </si>
  <si>
    <t xml:space="preserve">  READ-ONLY DASHBOARD  ·  All data entry in 'MD Register' only  ·  Auto-refreshes from formulas</t>
  </si>
  <si>
    <t>Paid</t>
  </si>
  <si>
    <t>Pipeline</t>
  </si>
  <si>
    <t>Unscheduled</t>
  </si>
  <si>
    <t>PAYMENT REGISTER — ESAP &amp; ESG SERVICE PROVIDERS</t>
  </si>
  <si>
    <t>Yellow cells = to be completed  |  White cells = auto-calculated  |  DATE = tranche paid (even approximate)  |  No date = pipeline/upcoming  |  All amounts in ₦</t>
  </si>
  <si>
    <t>Description</t>
  </si>
  <si>
    <t>Contract Amount (₦)</t>
  </si>
  <si>
    <t>TRANCHE 1</t>
  </si>
  <si>
    <t>TRANCHE 2</t>
  </si>
  <si>
    <t>TRANCHE 3</t>
  </si>
  <si>
    <t>TRANCHE 4</t>
  </si>
  <si>
    <t>ONE-SHOT</t>
  </si>
  <si>
    <t>Total Paid (₦)</t>
  </si>
  <si>
    <t>Balance (₦)</t>
  </si>
  <si>
    <t>Status</t>
  </si>
  <si>
    <t>Invoice #</t>
  </si>
  <si>
    <t>Contract #</t>
  </si>
  <si>
    <t>Notes</t>
  </si>
  <si>
    <t>Amount (₦)</t>
  </si>
  <si>
    <t>Date</t>
  </si>
  <si>
    <t>Ref/POP</t>
  </si>
  <si>
    <t>Ref</t>
  </si>
  <si>
    <t>Details</t>
  </si>
  <si>
    <t>À VENIR</t>
  </si>
  <si>
    <t>NCF</t>
  </si>
  <si>
    <t>ESAP-BMP</t>
  </si>
  <si>
    <t>BMP Implementation Phase 1+ 2</t>
  </si>
  <si>
    <t>POP Access Bank</t>
  </si>
  <si>
    <t>PARTIAL</t>
  </si>
  <si>
    <t>0120054 / 0120065</t>
  </si>
  <si>
    <t>DynaSmart</t>
  </si>
  <si>
    <t>ESAP-SRAP</t>
  </si>
  <si>
    <t>SRAP - Contract signing (35%) + Inception Report (30%)</t>
  </si>
  <si>
    <t>101 / 102</t>
  </si>
  <si>
    <t>HCCL/HO/CON-CA/25/004</t>
  </si>
  <si>
    <t>USD $110,141.40 - NGN TBC (T1)</t>
  </si>
  <si>
    <t>CEO Advisory</t>
  </si>
  <si>
    <t>HRRA</t>
  </si>
  <si>
    <t>Mobilization (30%) + Draft Report 30%</t>
  </si>
  <si>
    <t>POP FirstBank</t>
  </si>
  <si>
    <t>Eddie Perez Limited</t>
  </si>
  <si>
    <t>OD SURVEY</t>
  </si>
  <si>
    <t>Mobilization fee for survey (60%) + Draft Report (30%)</t>
  </si>
  <si>
    <t>INV-210126</t>
  </si>
  <si>
    <t>Next: Final 10% Q1 2026</t>
  </si>
  <si>
    <t>SOCIO ECONOMIC SURVEYS</t>
  </si>
  <si>
    <t>Mobilization (50%) + Draft report (30%)</t>
  </si>
  <si>
    <t>TBC - Emile Antone</t>
  </si>
  <si>
    <t>INV-260925 / INV-161225</t>
  </si>
  <si>
    <t>POP FirstBank | WHT deducted | Next: Final 20% Q1 2026</t>
  </si>
  <si>
    <t>David Omaghomi</t>
  </si>
  <si>
    <t>CRM</t>
  </si>
  <si>
    <t>Communitiy Awareness Campaigns (June - Sept 2025)</t>
  </si>
  <si>
    <t>PAID</t>
  </si>
  <si>
    <t>—</t>
  </si>
  <si>
    <t>Hitech-CRM</t>
  </si>
  <si>
    <t>ESAP SEC 1</t>
  </si>
  <si>
    <t>GRC Activity</t>
  </si>
  <si>
    <t>Beachtv Media Limited</t>
  </si>
  <si>
    <t>CSR</t>
  </si>
  <si>
    <t>Photography Videography - Lagos City Marathon</t>
  </si>
  <si>
    <t>Payment for Community Relation Manager retainer fee for 5 months (from June 2025 to October 2025)</t>
  </si>
  <si>
    <t xml:space="preserve"> </t>
  </si>
  <si>
    <t>G&amp;B PRINTING PRESS AND BUSINESS CENTER</t>
  </si>
  <si>
    <t>Office supplies</t>
  </si>
  <si>
    <t>PENDING</t>
  </si>
  <si>
    <t>Photography - Videography - Drone Shoot</t>
  </si>
  <si>
    <t>Lifeline Option Enterprises</t>
  </si>
  <si>
    <t>Adhoc staffs</t>
  </si>
  <si>
    <t>t</t>
  </si>
  <si>
    <t>Speaker hire - campaign</t>
  </si>
  <si>
    <t>Adhoc staffs: Jan 10 to Feb 7.  2026</t>
  </si>
  <si>
    <t>CRM Office and SRAP Team</t>
  </si>
  <si>
    <t>SRAP / GRC STAKEHOLDERS WORKSHOP MEETING 2026</t>
  </si>
  <si>
    <t>UPCOMING</t>
  </si>
  <si>
    <t>Fuel (LSR 58 EZ)</t>
  </si>
  <si>
    <t>April Pay for Community Relations Manager</t>
  </si>
  <si>
    <t>Ndoni Logistic</t>
  </si>
  <si>
    <t xml:space="preserve">Provision of vehicule Hire (SUV) + Driver &amp; Fueling </t>
  </si>
  <si>
    <t>Payment for Community Relation Manager</t>
  </si>
  <si>
    <t>Vehicule Hire- CRM Office June-July</t>
  </si>
  <si>
    <t>Adhoc staffs 14 feb. 2026</t>
  </si>
  <si>
    <t>Payment for CRM Office Nov 2025 to March 2026</t>
  </si>
  <si>
    <t>EcoConserv</t>
  </si>
  <si>
    <t>HURRI - LCCH 30%</t>
  </si>
  <si>
    <t>HURRI-LCCH 40% (à venir)</t>
  </si>
  <si>
    <t>30% payé (T1) + 40% à venir (T2). Solde 30% restant.</t>
  </si>
  <si>
    <t>Hitech</t>
  </si>
  <si>
    <t xml:space="preserve">SRAP/GRC Activities- April, 4,  2026 </t>
  </si>
  <si>
    <t>TOTAL</t>
  </si>
  <si>
    <t>VBA CODE — PAYMENT TRACKER — HITECH ESAP</t>
  </si>
  <si>
    <t>INSTALLATION :</t>
  </si>
  <si>
    <t>1. Alt+F11 → Ouvre l'éditeur VBA</t>
  </si>
  <si>
    <t>2. Dans VBAProject, double-clic sur 'MD Register' → Coller CODE A</t>
  </si>
  <si>
    <t>3. Clic droit VBAProject &gt; Insérer &gt; Module → Coller CODE B</t>
  </si>
  <si>
    <t>4. Enregistrer sous .xlsm  (Fichier &gt; Enregistrer sous &gt; Classeur Excel avec macros)</t>
  </si>
  <si>
    <t>══════════════════════════════════════════════════════════</t>
  </si>
  <si>
    <t>CODE A — Coller dans la feuille 'MD Register'</t>
  </si>
  <si>
    <t>Private Sub Worksheet_Change(ByVal Target As Range)</t>
  </si>
  <si>
    <t xml:space="preserve">    ' Déclenché dès qu'une cellule de la colonne B (Service Provider) change</t>
  </si>
  <si>
    <t xml:space="preserve">    If Not Intersect(Target, Me.Columns("B")) Is Nothing Then</t>
  </si>
  <si>
    <t xml:space="preserve">        Application.EnableEvents = False</t>
  </si>
  <si>
    <t xml:space="preserve">        On Error GoTo Cleanup</t>
  </si>
  <si>
    <t xml:space="preserve">        Call UpdateServiceProviderList   ' Met à jour Lists!D automatiquement</t>
  </si>
  <si>
    <t>Cleanup:</t>
  </si>
  <si>
    <t xml:space="preserve">        Application.EnableEvents = True</t>
  </si>
  <si>
    <t xml:space="preserve">    End If</t>
  </si>
  <si>
    <t>End Sub</t>
  </si>
  <si>
    <t>CODE B — Coller dans un Module standard</t>
  </si>
  <si>
    <t>Sub UpdateServiceProviderList()</t>
  </si>
  <si>
    <t>'--------------------------------------------------------------</t>
  </si>
  <si>
    <t>' Collecte les noms uniques de MD Register!B5:B104</t>
  </si>
  <si>
    <t>' Réécrit Lists!D2:D60 avec la liste dédoublonnée</t>
  </si>
  <si>
    <t>' → Dashboard se met à jour automatiquement car lié à Lists!D</t>
  </si>
  <si>
    <t xml:space="preserve">    Dim wsReg As Worksheet, wsLists As Worksheet</t>
  </si>
  <si>
    <t xml:space="preserve">    Dim dict As Object, cell As Range, key As Variant</t>
  </si>
  <si>
    <t xml:space="preserve">    Dim i As Long, v As String</t>
  </si>
  <si>
    <t xml:space="preserve">    Set wsReg   = ThisWorkbook.Worksheets("MD Register")</t>
  </si>
  <si>
    <t xml:space="preserve">    Set wsLists = ThisWorkbook.Worksheets("Lists")</t>
  </si>
  <si>
    <t xml:space="preserve">    Set dict    = CreateObject("Scripting.Dictionary")</t>
  </si>
  <si>
    <t xml:space="preserve">    ' Parcourir toutes les lignes de données (5 à 104)</t>
  </si>
  <si>
    <t xml:space="preserve">    For Each cell In wsReg.Range("B5:B104")</t>
  </si>
  <si>
    <t xml:space="preserve">        v = Trim(cell.Value)</t>
  </si>
  <si>
    <t xml:space="preserve">        If v &lt;&gt; "" And Not dict.Exists(v) Then</t>
  </si>
  <si>
    <t xml:space="preserve">            dict.Add v, True   ' Garder l'ordre d'apparition</t>
  </si>
  <si>
    <t xml:space="preserve">        End If</t>
  </si>
  <si>
    <t xml:space="preserve">    Next cell</t>
  </si>
  <si>
    <t xml:space="preserve">    ' Effacer l'ancienne liste et réécrire</t>
  </si>
  <si>
    <t xml:space="preserve">    wsLists.Range("D2:D120").ClearContents</t>
  </si>
  <si>
    <t xml:space="preserve">    i = 2</t>
  </si>
  <si>
    <t xml:space="preserve">    For Each key In dict.Keys</t>
  </si>
  <si>
    <t xml:space="preserve">        wsLists.Cells(i, 4).Value = key</t>
  </si>
  <si>
    <t xml:space="preserve">        i = i + 1</t>
  </si>
  <si>
    <t xml:space="preserve">    Next key</t>
  </si>
  <si>
    <t>Sub ShowBudgetSummary()</t>
  </si>
  <si>
    <t>' Affiche une synthèse budget — lier à un bouton dans le Dashboard</t>
  </si>
  <si>
    <t xml:space="preserve">    Dim ws As Worksheet</t>
  </si>
  <si>
    <t xml:space="preserve">    Dim eng As Double, paid As Double, pipe As Double</t>
  </si>
  <si>
    <t xml:space="preserve">    Dim i As Long, st As String, amt As Double</t>
  </si>
  <si>
    <t xml:space="preserve">    Set ws = ThisWorkbook.Worksheets("MD Register")</t>
  </si>
  <si>
    <t xml:space="preserve">    For i = 5 To 104</t>
  </si>
  <si>
    <t xml:space="preserve">        If IsNumeric(ws.Cells(i, 6).Value) Then</t>
  </si>
  <si>
    <t xml:space="preserve">            amt = CDbl(ws.Cells(i, 6).Value)</t>
  </si>
  <si>
    <t xml:space="preserve">            eng = eng + amt</t>
  </si>
  <si>
    <t xml:space="preserve">        If IsNumeric(ws.Cells(i, 22).Value) Then</t>
  </si>
  <si>
    <t xml:space="preserve">            paid = paid + CDbl(ws.Cells(i, 22).Value)</t>
  </si>
  <si>
    <t xml:space="preserve">        If IsNumeric(ws.Cells(i, 29).Value) Then</t>
  </si>
  <si>
    <t xml:space="preserve">            pipe = pipe + CDbl(ws.Cells(i, 29).Value)</t>
  </si>
  <si>
    <t xml:space="preserve">    Next i</t>
  </si>
  <si>
    <t xml:space="preserve">    MsgBox "BUDGET SUMMARY — ESAP" &amp; Chr(10) &amp; String(30, "─") &amp; Chr(10) &amp; _</t>
  </si>
  <si>
    <t xml:space="preserve">           "Total Committed : " &amp; Format(eng,  "#,##0") &amp; " ₦" &amp; Chr(10) &amp; _</t>
  </si>
  <si>
    <t xml:space="preserve">           "Total Paid      : " &amp; Format(paid, "#,##0") &amp; " ₦" &amp; Chr(10) &amp; _</t>
  </si>
  <si>
    <t xml:space="preserve">           "Pipeline        : " &amp; Format(pipe, "#,##0") &amp; " ₦" &amp; Chr(10) &amp; _</t>
  </si>
  <si>
    <t xml:space="preserve">           "Payment Rate    : " &amp; IIf(eng=0,"N/A",Format(paid/eng,"0.0%")), _</t>
  </si>
  <si>
    <t xml:space="preserve">           vbInformation, "Budget Summary"</t>
  </si>
  <si>
    <t>CODE C — ExportToHTML  (Coller dans un Module standard)</t>
  </si>
  <si>
    <t>Génère BUDGET_FOLLOW_UP.html dans le même dossier que le fichier Excel</t>
  </si>
  <si>
    <t>Lier ce Sub à un bouton dans l'onglet Dashboard MD</t>
  </si>
  <si>
    <t>Sub ExportToHTML()</t>
  </si>
  <si>
    <t>' Génère BUDGET_FOLLOW_UP.html dans le dossier du fichier</t>
  </si>
  <si>
    <t>' Lit les données de MD Register (col B, F, V, AC, Y)</t>
  </si>
  <si>
    <t>' Lier à un bouton : Développeur &gt; Insérer &gt; Bouton &gt; ExportToHTML</t>
  </si>
  <si>
    <t xml:space="preserve">    Dim ws       As Worksheet</t>
  </si>
  <si>
    <t xml:space="preserve">    Dim wsH      As Worksheet</t>
  </si>
  <si>
    <t xml:space="preserve">    Dim filePath As String</t>
  </si>
  <si>
    <t xml:space="preserve">    Dim fileNum  As Integer</t>
  </si>
  <si>
    <t xml:space="preserve">    Dim html     As String</t>
  </si>
  <si>
    <t xml:space="preserve">    Dim i        As Long</t>
  </si>
  <si>
    <t xml:space="preserve">    Dim rw       As Long</t>
  </si>
  <si>
    <t xml:space="preserve">    Dim updated  As String</t>
  </si>
  <si>
    <t xml:space="preserve">    ' ── Initialisation ──────────────────────────────────────────</t>
  </si>
  <si>
    <t xml:space="preserve">    Set ws   = ThisWorkbook.Worksheets("MD Register")</t>
  </si>
  <si>
    <t xml:space="preserve">    Set wsH  = ThisWorkbook.Worksheets("Export_HTML")</t>
  </si>
  <si>
    <t xml:space="preserve">    filePath = ThisWorkbook.Path &amp; "\BUDGET_FOLLOW_UP.html"</t>
  </si>
  <si>
    <t xml:space="preserve">    updated  = Format(Now(), "DD MMMM YYYY — HH:MM")</t>
  </si>
  <si>
    <t xml:space="preserve">    ' ── Calcul des KPIs depuis MD Register ─────────────────────</t>
  </si>
  <si>
    <t xml:space="preserve">    Dim committed As Double, paidTot As Double</t>
  </si>
  <si>
    <t xml:space="preserve">    Dim pipeTot   As Double, balTot  As Double, rateTot As Double</t>
  </si>
  <si>
    <t xml:space="preserve">    committed = 0 : paidTot = 0 : pipeTot = 0</t>
  </si>
  <si>
    <t xml:space="preserve">    For rw = 5 To 104</t>
  </si>
  <si>
    <t xml:space="preserve">        If ws.Cells(rw, 2).Value &lt;&gt; "" Then</t>
  </si>
  <si>
    <t xml:space="preserve">            If IsNumeric(ws.Cells(rw, 6).Value)  Then committed = committed + CDbl(ws.Cells(rw, 6).Value)</t>
  </si>
  <si>
    <t xml:space="preserve">            If IsNumeric(ws.Cells(rw, 22).Value) Then paidTot   = paidTot   + CDbl(ws.Cells(rw, 22).Value)</t>
  </si>
  <si>
    <t xml:space="preserve">            If IsNumeric(ws.Cells(rw, 29).Value) Then pipeTot   = pipeTot   + CDbl(ws.Cells(rw, 29).Value)</t>
  </si>
  <si>
    <t xml:space="preserve">    Next rw</t>
  </si>
  <si>
    <t xml:space="preserve">    balTot  = committed - paidTot - pipeTot</t>
  </si>
  <si>
    <t xml:space="preserve">    rateTot = IIf(committed = 0, 0, paidTot / committed)</t>
  </si>
  <si>
    <t xml:space="preserve">    ' ── Fonctions locales de formatage ─────────────────────────</t>
  </si>
  <si>
    <t xml:space="preserve">    ' (inlinées pour éviter les dépendances de modules)</t>
  </si>
  <si>
    <t xml:space="preserve">    ' ── Construction du HTML ──────────────────────────────────</t>
  </si>
  <si>
    <t xml:space="preserve">    html = "&lt;!DOCTYPE html&gt;&lt;html lang='en'&gt;&lt;head&gt;" _</t>
  </si>
  <si>
    <t xml:space="preserve">         &amp; "&lt;meta charset='UTF-8'&gt;" _</t>
  </si>
  <si>
    <t xml:space="preserve">         &amp; "&lt;title&gt;ESAP Board Dashboard&lt;/title&gt;" _</t>
  </si>
  <si>
    <t xml:space="preserve">         &amp; "&lt;script src='https://cdnjs.cloudflare.com/ajax/libs/Chart.js/4.4.1/chart.umd.min.js'&gt;&lt;/script&gt;"</t>
  </si>
  <si>
    <t xml:space="preserve">    ' ── Styles (CSS embarqué) ──────────────────────────────────</t>
  </si>
  <si>
    <t xml:space="preserve">    html = html &amp; "&lt;style&gt;"</t>
  </si>
  <si>
    <t xml:space="preserve">    html = html &amp; "body{font-family:Segoe UI,Arial,sans-serif;background:#0D1B2A;color:#E8EDF2;margin:0;padding:20px}"</t>
  </si>
  <si>
    <t xml:space="preserve">    html = html &amp; ".page{max-width:1400px;margin:0 auto}"</t>
  </si>
  <si>
    <t xml:space="preserve">    html = html &amp; ".hdr{background:#1B2A4A;color:#fff;padding:20px 28px;border-radius:8px 8px 0 0;display:flex;justify-content:space-between;align-items:flex-end}"</t>
  </si>
  <si>
    <t xml:space="preserve">    html = html &amp; ".hdr h1{font-size:20px;margin:0}.hdr p{font-size:11px;opacity:.7;margin:4px 0 0}"</t>
  </si>
  <si>
    <t xml:space="preserve">    html = html &amp; ".hdr-right{text-align:right;font-size:11px;color:#7B9BB5;line-height:1.8}"</t>
  </si>
  <si>
    <t xml:space="preserve">    html = html &amp; ".kpis{display:grid;grid-template-columns:repeat(5,1fr);border:1px solid rgba(255,255,255,.1)}"</t>
  </si>
  <si>
    <t xml:space="preserve">    html = html &amp; ".kpi{padding:16px 18px;border-right:1px solid rgba(255,255,255,.08)}"</t>
  </si>
  <si>
    <t xml:space="preserve">    html = html &amp; ".kpi-l{font-size:9px;text-transform:uppercase;letter-spacing:.8px;color:#7B9BB5;margin-bottom:5px}"</t>
  </si>
  <si>
    <t xml:space="preserve">    html = html &amp; ".kpi-v{font-size:24px;font-weight:700;line-height:1}.kpi-s{font-size:10px;color:#4A6A82;margin-top:4px}"</t>
  </si>
  <si>
    <t xml:space="preserve">    html = html &amp; ".kpi-bar{height:3px;background:rgba(255,255,255,.1);border-radius:2px;margin-top:8px}"</t>
  </si>
  <si>
    <t xml:space="preserve">    html = html &amp; ".kpi-fill{height:100%;border-radius:2px}"</t>
  </si>
  <si>
    <t xml:space="preserve">    html = html &amp; ".row{display:grid;gap:16px;padding:16px 0 0}"</t>
  </si>
  <si>
    <t xml:space="preserve">    html = html &amp; ".row2{grid-template-columns:3fr 2fr}.row1{grid-template-columns:1fr}"</t>
  </si>
  <si>
    <t xml:space="preserve">    html = html &amp; ".card{background:rgba(255,255,255,.04);border:1px solid rgba(255,255,255,.08);border-radius:10px;padding:20px 22px}"</t>
  </si>
  <si>
    <t xml:space="preserve">    html = html &amp; ".card-title{font-size:10px;text-transform:uppercase;letter-spacing:.8px;color:#5A7A95;margin-bottom:16px;font-weight:700}"</t>
  </si>
  <si>
    <t xml:space="preserve">    html = html &amp; ".prov{display:flex;flex-direction:column;gap:12px}"</t>
  </si>
  <si>
    <t xml:space="preserve">    html = html &amp; ".prov-hdr{display:flex;justify-content:space-between;margin-bottom:4px;font-size:12px}"</t>
  </si>
  <si>
    <t xml:space="preserve">    html = html &amp; ".prov-name{font-weight:600;color:#C8D8E8}.prov-pct{font-weight:700;color:#fff}"</t>
  </si>
  <si>
    <t xml:space="preserve">    html = html &amp; ".prov-wrap{height:10px;background:rgba(255,255,255,.08);border-radius:5px;overflow:hidden;display:flex}"</t>
  </si>
  <si>
    <t xml:space="preserve">    html = html &amp; ".prov-meta{font-size:10px;color:#4A6A82;display:flex;justify-content:space-between;margin-top:2px}"</t>
  </si>
  <si>
    <t xml:space="preserve">    html = html &amp; ".legend{display:flex;flex-direction:column;gap:8px;margin-top:8px}"</t>
  </si>
  <si>
    <t xml:space="preserve">    html = html &amp; ".li{display:flex;align-items:center;gap:8px;font-size:12px}"</t>
  </si>
  <si>
    <t xml:space="preserve">    html = html &amp; ".ld{width:12px;height:12px;border-radius:3px;flex-shrink:0}"</t>
  </si>
  <si>
    <t xml:space="preserve">    html = html &amp; ".ll{flex:1;color:#9BB8D4}.lv{font-weight:600;color:#fff}"</t>
  </si>
  <si>
    <t xml:space="preserve">    html = html &amp; ".footer{margin-top:24px;padding-top:12px;border-top:1px solid rgba(255,255,255,.06);font-size:10px;color:#3A5A72;text-transform:uppercase;letter-spacing:.5px;display:flex;justify-content:space-between}"</t>
  </si>
  <si>
    <t xml:space="preserve">    html = html &amp; "&lt;/style&gt;&lt;/head&gt;&lt;body&gt;&lt;div class='page'&gt;"</t>
  </si>
  <si>
    <t xml:space="preserve">    ' ── En-tête ─────────────────────────────────────────────────</t>
  </si>
  <si>
    <t xml:space="preserve">    html = html &amp; "&lt;div class='hdr'&gt;"</t>
  </si>
  <si>
    <t xml:space="preserve">    html = html &amp; "&lt;div&gt;&lt;h1&gt;HITECH Construction Company Ltd&lt;/h1&gt;"</t>
  </si>
  <si>
    <t xml:space="preserve">    html = html &amp; "&lt;p&gt;ESG &amp;amp; ESAP &amp;#8212; Service Provider Payments &amp;#8212; Board Committee Dashboard&lt;/p&gt;&lt;/div&gt;"</t>
  </si>
  <si>
    <t xml:space="preserve">    html = html &amp; "&lt;div class='hdr-right'&gt;&lt;b&gt;Reporting Period:&lt;/b&gt; FY 2025&amp;#8211;2026&lt;br&gt;"</t>
  </si>
  <si>
    <t xml:space="preserve">    html = html &amp; "&lt;b&gt;Projects:&lt;/b&gt; LCCH Sections 1&amp;#8211;5 &amp;nbsp;| SBS Sokoto &amp;amp; Kebbi&lt;br&gt;"</t>
  </si>
  <si>
    <t xml:space="preserve">    html = html &amp; "&lt;b&gt;As of:&lt;/b&gt; " &amp; updated &amp; " &amp;nbsp;&amp;#183;&amp;nbsp; Sky Kapital Europe&lt;/div&gt;&lt;/div&gt;"</t>
  </si>
  <si>
    <t xml:space="preserve">    ' ── KPI Cards ───────────────────────────────────────────────</t>
  </si>
  <si>
    <t xml:space="preserve">    Dim kpiRate As String</t>
  </si>
  <si>
    <t xml:space="preserve">    kpiRate = Format(rateTot, "0.0%")</t>
  </si>
  <si>
    <t xml:space="preserve">    Dim paidPct As Double : paidPct = IIf(committed = 0, 0, paidTot / committed * 100)</t>
  </si>
  <si>
    <t xml:space="preserve">    Dim pipePct As Double : pipePct = IIf(committed = 0, 0, pipeTot / committed * 100)</t>
  </si>
  <si>
    <t xml:space="preserve">    Dim balPct  As Double : balPct  = IIf(committed = 0, 0, balTot  / committed * 100)</t>
  </si>
  <si>
    <t xml:space="preserve">    html = html &amp; "&lt;div class='kpis'&gt;"</t>
  </si>
  <si>
    <t xml:space="preserve">    html = html &amp; "&lt;div class='kpi'&gt;&lt;div class='kpi-l'&gt;Total Committed&lt;/div&gt;"</t>
  </si>
  <si>
    <t xml:space="preserve">    html = html &amp; "&lt;div class='kpi-v' style='color:#0E9F7E'&gt;" &amp; Chr(8358) &amp; Format(committed/1000000, "#,##0.0") &amp; "M&lt;/div&gt;"</t>
  </si>
  <si>
    <t xml:space="preserve">    html = html &amp; "&lt;div class='kpi-s'&gt;All contracted amounts&lt;/div&gt;"</t>
  </si>
  <si>
    <t xml:space="preserve">    html = html &amp; "&lt;div class='kpi-bar'&gt;&lt;div class='kpi-fill' style='width:100%;background:#0E9F7E'&gt;&lt;/div&gt;&lt;/div&gt;&lt;/div&gt;"</t>
  </si>
  <si>
    <t xml:space="preserve">    html = html &amp; "&lt;div class='kpi'&gt;&lt;div class='kpi-l'&gt;Total Paid&lt;/div&gt;"</t>
  </si>
  <si>
    <t xml:space="preserve">    html = html &amp; "&lt;div class='kpi-v' style='color:#27AE60'&gt;" &amp; Chr(8358) &amp; Format(paidTot/1000000, "#,##0.0") &amp; "M&lt;/div&gt;"</t>
  </si>
  <si>
    <t xml:space="preserve">    html = html &amp; "&lt;div class='kpi-s'&gt;Actually disbursed&lt;/div&gt;"</t>
  </si>
  <si>
    <t xml:space="preserve">    html = html &amp; "&lt;div class='kpi-bar'&gt;&lt;div class='kpi-fill' style='width:" &amp; Format(paidPct,"0.0") &amp; "%;background:#27AE60'&gt;&lt;/div&gt;&lt;/div&gt;&lt;/div&gt;"</t>
  </si>
  <si>
    <t xml:space="preserve">    html = html &amp; "&lt;div class='kpi'&gt;&lt;div class='kpi-l'&gt;Pipeline&lt;/div&gt;"</t>
  </si>
  <si>
    <t xml:space="preserve">    html = html &amp; "&lt;div class='kpi-v' style='color:#E67E22'&gt;" &amp; Chr(8358) &amp; Format(pipeTot/1000000, "#,##0.1") &amp; "M&lt;/div&gt;"</t>
  </si>
  <si>
    <t xml:space="preserve">    html = html &amp; "&lt;div class='kpi-s'&gt;UPCOMING / PENDING&lt;/div&gt;"</t>
  </si>
  <si>
    <t xml:space="preserve">    html = html &amp; "&lt;div class='kpi-bar'&gt;&lt;div class='kpi-fill' style='width:" &amp; Format(pipePct,"0.0") &amp; "%;background:#E67E22'&gt;&lt;/div&gt;&lt;/div&gt;&lt;/div&gt;"</t>
  </si>
  <si>
    <t xml:space="preserve">    html = html &amp; "&lt;div class='kpi'&gt;&lt;div class='kpi-l'&gt;Unscheduled Balance&lt;/div&gt;"</t>
  </si>
  <si>
    <t xml:space="preserve">    html = html &amp; "&lt;div class='kpi-v' style='color:#566573'&gt;" &amp; Chr(8358) &amp; Format(balTot/1000000, "#,##0.0") &amp; "M&lt;/div&gt;"</t>
  </si>
  <si>
    <t xml:space="preserve">    html = html &amp; "&lt;div class='kpi-s'&gt;Committed &amp;#8722; Paid &amp;#8722; Pipeline&lt;/div&gt;"</t>
  </si>
  <si>
    <t xml:space="preserve">    html = html &amp; "&lt;div class='kpi-bar'&gt;&lt;div class='kpi-fill' style='width:" &amp; Format(balPct,"0.0") &amp; "%;background:#566573'&gt;&lt;/div&gt;&lt;/div&gt;&lt;/div&gt;"</t>
  </si>
  <si>
    <t xml:space="preserve">    html = html &amp; "&lt;div class='kpi'&gt;&lt;div class='kpi-l'&gt;Payment Rate&lt;/div&gt;"</t>
  </si>
  <si>
    <t xml:space="preserve">    html = html &amp; "&lt;div class='kpi-v' style='color:#2E8BC0'&gt;" &amp; kpiRate &amp; "&lt;/div&gt;"</t>
  </si>
  <si>
    <t xml:space="preserve">    html = html &amp; "&lt;div class='kpi-s'&gt;Paid &amp;#247; Committed&lt;/div&gt;"</t>
  </si>
  <si>
    <t xml:space="preserve">    html = html &amp; "&lt;div class='kpi-bar'&gt;&lt;div class='kpi-fill' style='width:" &amp; Format(paidPct,"0.0") &amp; "%;background:#2E8BC0'&gt;&lt;/div&gt;&lt;/div&gt;&lt;/div&gt;"</t>
  </si>
  <si>
    <t xml:space="preserve">    html = html &amp; "&lt;/div&gt;"</t>
  </si>
  <si>
    <t xml:space="preserve">    ' ── Contenu principal : 2 cartes côte à côte ────────────────</t>
  </si>
  <si>
    <t xml:space="preserve">    html = html &amp; "&lt;div class='row row2'&gt;"</t>
  </si>
  <si>
    <t xml:space="preserve">    ' ── Carte 1 : barres de progression par provider ───────────</t>
  </si>
  <si>
    <t xml:space="preserve">    html = html &amp; "&lt;div class='card'&gt;&lt;div class='card-title'&gt;Payment Progress by Service Provider&lt;/div&gt;"</t>
  </si>
  <si>
    <t xml:space="preserve">    html = html &amp; "&lt;div class='prov'&gt;"</t>
  </si>
  <si>
    <t xml:space="preserve">    Dim provName As String, provCtr As Double</t>
  </si>
  <si>
    <t xml:space="preserve">    Dim provPaid As Double, provPipe As Double</t>
  </si>
  <si>
    <t xml:space="preserve">    Dim provPct  As Double, provPaidW As Double</t>
  </si>
  <si>
    <t xml:space="preserve">    Dim provPipeW As Double, provBalW As Double</t>
  </si>
  <si>
    <t xml:space="preserve">    Dim paidM As String, ctrM As String</t>
  </si>
  <si>
    <t xml:space="preserve">    ' Parcourir Export_HTML qui agrège déjà par provider via SUMIF</t>
  </si>
  <si>
    <t xml:space="preserve">    ' Ligne 9 = première ligne de données</t>
  </si>
  <si>
    <t xml:space="preserve">    Dim prevProv As String : prevProv = ""</t>
  </si>
  <si>
    <t xml:space="preserve">    Dim aggCtr As Double, aggPaid As Double, aggPipe As Double</t>
  </si>
  <si>
    <t xml:space="preserve">    aggCtr = 0 : aggPaid = 0 : aggPipe = 0</t>
  </si>
  <si>
    <t xml:space="preserve">    i = 0</t>
  </si>
  <si>
    <t xml:space="preserve">    ' Utiliser MD Register directement, agréger par provider</t>
  </si>
  <si>
    <t xml:space="preserve">    Dim dictP As Object</t>
  </si>
  <si>
    <t xml:space="preserve">    Set dictP = CreateObject("Scripting.Dictionary")</t>
  </si>
  <si>
    <t xml:space="preserve">    Dim dictCtr As Object : Set dictCtr = CreateObject("Scripting.Dictionary")</t>
  </si>
  <si>
    <t xml:space="preserve">    Dim dictPaid As Object : Set dictPaid = CreateObject("Scripting.Dictionary")</t>
  </si>
  <si>
    <t xml:space="preserve">    Dim dictPipe As Object : Set dictPipe = CreateObject("Scripting.Dictionary")</t>
  </si>
  <si>
    <t xml:space="preserve">        provName = Trim(CStr(ws.Cells(rw, 2).Value))</t>
  </si>
  <si>
    <t xml:space="preserve">        If provName &lt;&gt; "" Then</t>
  </si>
  <si>
    <t xml:space="preserve">            If Not dictP.Exists(provName) Then</t>
  </si>
  <si>
    <t xml:space="preserve">                dictP.Add provName, True</t>
  </si>
  <si>
    <t xml:space="preserve">                dictCtr.Add provName, 0</t>
  </si>
  <si>
    <t xml:space="preserve">                dictPaid.Add provName, 0</t>
  </si>
  <si>
    <t xml:space="preserve">                dictPipe.Add provName, 0</t>
  </si>
  <si>
    <t xml:space="preserve">            End If</t>
  </si>
  <si>
    <t xml:space="preserve">            If IsNumeric(ws.Cells(rw, 6).Value)  Then dictCtr(provName)  = dictCtr(provName)  + CDbl(ws.Cells(rw, 6).Value)</t>
  </si>
  <si>
    <t xml:space="preserve">            If IsNumeric(ws.Cells(rw, 22).Value) Then dictPaid(provName) = dictPaid(provName) + CDbl(ws.Cells(rw, 22).Value)</t>
  </si>
  <si>
    <t xml:space="preserve">            If IsNumeric(ws.Cells(rw, 29).Value) Then dictPipe(provName) = dictPipe(provName) + CDbl(ws.Cells(rw, 29).Value)</t>
  </si>
  <si>
    <t xml:space="preserve">    ' Trier par montant contrat décroissant (bulle simple)</t>
  </si>
  <si>
    <t xml:space="preserve">    Dim provKeys() As String</t>
  </si>
  <si>
    <t xml:space="preserve">    Dim nP As Integer : nP = dictP.Count</t>
  </si>
  <si>
    <t xml:space="preserve">    ReDim provKeys(0 To nP - 1)</t>
  </si>
  <si>
    <t xml:space="preserve">    Dim k As Integer : k = 0</t>
  </si>
  <si>
    <t xml:space="preserve">    Dim kk As Variant</t>
  </si>
  <si>
    <t xml:space="preserve">    For Each kk In dictP.Keys</t>
  </si>
  <si>
    <t xml:space="preserve">        provKeys(k) = CStr(kk) : k = k + 1</t>
  </si>
  <si>
    <t xml:space="preserve">    Next kk</t>
  </si>
  <si>
    <t xml:space="preserve">    ' Tri bulle</t>
  </si>
  <si>
    <t xml:space="preserve">    Dim tmp As String, ii As Integer, jj As Integer</t>
  </si>
  <si>
    <t xml:space="preserve">    For ii = 0 To nP - 2</t>
  </si>
  <si>
    <t xml:space="preserve">        For jj = 0 To nP - 2 - ii</t>
  </si>
  <si>
    <t xml:space="preserve">            If dictCtr(provKeys(jj)) &lt; dictCtr(provKeys(jj+1)) Then</t>
  </si>
  <si>
    <t xml:space="preserve">                tmp = provKeys(jj) : provKeys(jj) = provKeys(jj+1) : provKeys(jj+1) = tmp</t>
  </si>
  <si>
    <t xml:space="preserve">        Next jj</t>
  </si>
  <si>
    <t xml:space="preserve">    Next ii</t>
  </si>
  <si>
    <t xml:space="preserve">    ' Générer les barres</t>
  </si>
  <si>
    <t xml:space="preserve">    For ii = 0 To nP - 1</t>
  </si>
  <si>
    <t xml:space="preserve">        provName  = provKeys(ii)</t>
  </si>
  <si>
    <t xml:space="preserve">        provCtr   = dictCtr(provName)</t>
  </si>
  <si>
    <t xml:space="preserve">        provPaid  = dictPaid(provName)</t>
  </si>
  <si>
    <t xml:space="preserve">        provPipe  = dictPipe(provName)</t>
  </si>
  <si>
    <t xml:space="preserve">        If provCtr &gt; 0 Then</t>
  </si>
  <si>
    <t xml:space="preserve">            provPct   = provPaid / provCtr * 100</t>
  </si>
  <si>
    <t xml:space="preserve">            provPaidW = provPaid / provCtr * 100</t>
  </si>
  <si>
    <t xml:space="preserve">            provPipeW = provPipe / provCtr * 100</t>
  </si>
  <si>
    <t xml:space="preserve">            provBalW  = 100 - provPaidW - provPipeW</t>
  </si>
  <si>
    <t xml:space="preserve">        Else</t>
  </si>
  <si>
    <t xml:space="preserve">            provPct = 0 : provPaidW = 0 : provPipeW = 0 : provBalW = 100</t>
  </si>
  <si>
    <t xml:space="preserve">        ctrM  = Chr(8358) &amp; Format(provCtr/1000000,  "#,##0.0") &amp; "M"</t>
  </si>
  <si>
    <t xml:space="preserve">        paidM = Chr(8358) &amp; Format(provPaid/1000000, "#,##0.1") &amp; "M"</t>
  </si>
  <si>
    <t xml:space="preserve">        html = html &amp; "&lt;div class='prov-hdr'&gt;"</t>
  </si>
  <si>
    <t xml:space="preserve">        html = html &amp; "&lt;span class='prov-name'&gt;" &amp; provName &amp; "&lt;/span&gt;"</t>
  </si>
  <si>
    <t xml:space="preserve">        html = html &amp; "&lt;span class='prov-pct'&gt;" &amp; Format(provPct,"0.0") &amp; "%&lt;/span&gt;&lt;/div&gt;"</t>
  </si>
  <si>
    <t xml:space="preserve">        html = html &amp; "&lt;div class='prov-wrap'&gt;"</t>
  </si>
  <si>
    <t xml:space="preserve">        html = html &amp; "&lt;div style='width:" &amp; Format(provPaidW,"0.0") &amp; "%;background:#27AE60;height:100%;border-radius:5px 0 0 5px'&gt;&lt;/div&gt;"</t>
  </si>
  <si>
    <t xml:space="preserve">        html = html &amp; "&lt;div style='width:" &amp; Format(provPipeW,"0.0") &amp; "%;background:#E67E22;height:100%'&gt;&lt;/div&gt;"</t>
  </si>
  <si>
    <t xml:space="preserve">        html = html &amp; "&lt;div style='width:" &amp; Format(provBalW, "0.0") &amp; "%;background:#2E4057;height:100%;border-radius:0 5px 5px 0'&gt;&lt;/div&gt;&lt;/div&gt;"</t>
  </si>
  <si>
    <t xml:space="preserve">        html = html &amp; "&lt;div class='prov-meta'&gt;&lt;span&gt;" &amp; Format(provCtr/1000000,"#,##0.0") &amp; "M committed&lt;/span&gt;"</t>
  </si>
  <si>
    <t xml:space="preserve">        html = html &amp; "&lt;span&gt;" &amp; paidM &amp; " paid&lt;/span&gt;&lt;/div&gt;"</t>
  </si>
  <si>
    <t xml:space="preserve">    html = html &amp; "&lt;/div&gt;&lt;/div&gt;"  ' Fin card providers</t>
  </si>
  <si>
    <t xml:space="preserve">    ' ── Carte 2 : Légende budget + taux ─────────────────────────</t>
  </si>
  <si>
    <t xml:space="preserve">    html = html &amp; "&lt;div class='card'&gt;"</t>
  </si>
  <si>
    <t xml:space="preserve">    html = html &amp; "&lt;div class='card-title'&gt;Budget Breakdown&lt;/div&gt;"</t>
  </si>
  <si>
    <t xml:space="preserve">    html = html &amp; "&lt;canvas id='donut' style='max-height:200px'&gt;&lt;/canvas&gt;"</t>
  </si>
  <si>
    <t xml:space="preserve">    html = html &amp; "&lt;div class='legend' style='margin-top:16px'&gt;"</t>
  </si>
  <si>
    <t xml:space="preserve">    html = html &amp; "&lt;div class='li'&gt;&lt;div class='ld' style='background:#27AE60'&gt;&lt;/div&gt;"</t>
  </si>
  <si>
    <t xml:space="preserve">    html = html &amp; "&lt;div class='ll'&gt;Total Paid&lt;/div&gt;"</t>
  </si>
  <si>
    <t xml:space="preserve">    html = html &amp; "&lt;div class='lv'&gt;" &amp; Chr(8358) &amp; Format(paidTot/1000000,"#,##0.1") &amp; "M&lt;/div&gt;&lt;/div&gt;"</t>
  </si>
  <si>
    <t xml:space="preserve">    html = html &amp; "&lt;div class='li'&gt;&lt;div class='ld' style='background:#E67E22'&gt;&lt;/div&gt;"</t>
  </si>
  <si>
    <t xml:space="preserve">    html = html &amp; "&lt;div class='ll'&gt;Pipeline&lt;/div&gt;"</t>
  </si>
  <si>
    <t xml:space="preserve">    html = html &amp; "&lt;div class='lv'&gt;" &amp; Chr(8358) &amp; Format(pipeTot/1000000,"#,##0.1") &amp; "M&lt;/div&gt;&lt;/div&gt;"</t>
  </si>
  <si>
    <t xml:space="preserve">    html = html &amp; "&lt;div class='li'&gt;&lt;div class='ld' style='background:#2E4057'&gt;&lt;/div&gt;"</t>
  </si>
  <si>
    <t xml:space="preserve">    html = html &amp; "&lt;div class='ll'&gt;Unscheduled Balance&lt;/div&gt;"</t>
  </si>
  <si>
    <t xml:space="preserve">    html = html &amp; "&lt;div class='lv'&gt;" &amp; Chr(8358) &amp; Format(balTot/1000000,"#,##0.1") &amp; "M&lt;/div&gt;&lt;/div&gt;"</t>
  </si>
  <si>
    <t xml:space="preserve">    html = html &amp; "&lt;/div&gt;&lt;/div&gt;"  ' Fin card 2</t>
  </si>
  <si>
    <t xml:space="preserve">    html = html &amp; "&lt;/div&gt;"  ' Fin row2</t>
  </si>
  <si>
    <t xml:space="preserve">    ' ── Footer ───────────────────────────────────────────────────</t>
  </si>
  <si>
    <t xml:space="preserve">    html = html &amp; "&lt;div class='footer'&gt;"</t>
  </si>
  <si>
    <t xml:space="preserve">    html = html &amp; "&lt;span&gt;HITECH Construction Company Ltd &amp;nbsp;&amp;#183;&amp;nbsp; ESG &amp;amp; ESAP Payment Tracker&lt;/span&gt;"</t>
  </si>
  <si>
    <t xml:space="preserve">    html = html &amp; "&lt;span&gt;Sky Kapital Europe &amp;nbsp;&amp;#183;&amp;nbsp; Board Committee &amp;#8212; Confidential &amp;nbsp;&amp;#183;&amp;nbsp; " &amp; updated &amp; "&lt;/span&gt;"</t>
  </si>
  <si>
    <t xml:space="preserve">    html = html &amp; "&lt;/div&gt;&lt;/div&gt;"  ' Fin page</t>
  </si>
  <si>
    <t xml:space="preserve">    ' ── Chart.js : Donut ─────────────────────────────────────────</t>
  </si>
  <si>
    <t xml:space="preserve">    Dim paidM2 As Double  : paidM2 = paidTot / 1000000</t>
  </si>
  <si>
    <t xml:space="preserve">    Dim pipeM2 As Double  : pipeM2 = pipeTot / 1000000</t>
  </si>
  <si>
    <t xml:space="preserve">    Dim balM2  As Double  : balM2  = balTot  / 1000000</t>
  </si>
  <si>
    <t xml:space="preserve">    html = html &amp; "&lt;script&gt;"</t>
  </si>
  <si>
    <t xml:space="preserve">    html = html &amp; "new Chart(document.getElementById('donut'),{type:'doughnut',"</t>
  </si>
  <si>
    <t xml:space="preserve">    html = html &amp; "data:{labels:['Paid','Pipeline','Balance'],"</t>
  </si>
  <si>
    <t xml:space="preserve">    html = html &amp; "datasets:[{data:[" &amp; Format(paidM2,"0.00") &amp; "," &amp; Format(pipeM2,"0.00") &amp; "," &amp; Format(balM2,"0.00") &amp; "],"</t>
  </si>
  <si>
    <t xml:space="preserve">    html = html &amp; "backgroundColor:['#27AE60','#E67E22','#2E4057'],borderColor:'transparent',borderWidth:0}]},"</t>
  </si>
  <si>
    <t xml:space="preserve">    html = html &amp; "options:{cutout:'70%',plugins:{legend:{display:false},"</t>
  </si>
  <si>
    <t xml:space="preserve">    html = html &amp; "tooltip:{callbacks:{label:c=&gt;' '+c.label+': &amp;#8358;'+c.raw.toFixed(1)+'M'}}}}});"</t>
  </si>
  <si>
    <t xml:space="preserve">    html = html &amp; "&lt;/" &amp; "script&gt;"</t>
  </si>
  <si>
    <t xml:space="preserve">    html = html &amp; "&lt;/body&gt;&lt;/html&gt;"</t>
  </si>
  <si>
    <t xml:space="preserve">    ' ── Écriture du fichier ──────────────────────────────────────</t>
  </si>
  <si>
    <t xml:space="preserve">    fileNum = FreeFile</t>
  </si>
  <si>
    <t xml:space="preserve">    Open filePath For Output As #fileNum</t>
  </si>
  <si>
    <t xml:space="preserve">    Print #fileNum, html</t>
  </si>
  <si>
    <t xml:space="preserve">    Close #fileNum</t>
  </si>
  <si>
    <t xml:space="preserve">    MsgBox "Board Dashboard HTML generated!" &amp; Chr(10) &amp; filePath, vbInformation, "Export HTML"</t>
  </si>
  <si>
    <t>FIELD GUIDE — ESG/ESAP PAYMENT TRACKER</t>
  </si>
  <si>
    <t>HITECH Construction Company Ltd  |  Final Version  |  Do not modify workbook structure</t>
  </si>
  <si>
    <t>1. GOLDEN RULE — ENTER DATA ONLY IN 'MD Register'</t>
  </si>
  <si>
    <t xml:space="preserve">   Col F  — Contract Amount    : Enter total contract value. Always.</t>
  </si>
  <si>
    <t xml:space="preserve">   Col G/J/M/P  — Tranches 1-4 : Enter amount when actual payment is made or scheduled.</t>
  </si>
  <si>
    <t xml:space="preserve">   Col S  — ONE-SHOT           : For single-payment contracts.</t>
  </si>
  <si>
    <t xml:space="preserve">   Col Y  — Status             : PAID / PARTIAL / UPCOMING / PENDING only.</t>
  </si>
  <si>
    <t xml:space="preserve">   Col V  — Total Paid         : AUTO-FORMULA. Never edit.</t>
  </si>
  <si>
    <t xml:space="preserve">   Col W  — Balance            : AUTO-FORMULA. Never edit.</t>
  </si>
  <si>
    <t xml:space="preserve">   Col X  — % Paid             : AUTO-FORMULA. Never edit.</t>
  </si>
  <si>
    <t xml:space="preserve">   Col AC — Pipeline           : AUTO-FORMULA. Never edit.</t>
  </si>
  <si>
    <t>2. STATUS LOGIC — WHAT EACH STATUS DOES</t>
  </si>
  <si>
    <t xml:space="preserve">   PAID      → Payment fully made. Counts in Total Paid. Pipeline = 0.</t>
  </si>
  <si>
    <t xml:space="preserve">   PARTIAL   → Partial payment. Entered tranches count in Total Paid.</t>
  </si>
  <si>
    <t xml:space="preserve">   UPCOMING  → Planned payment, not yet made. Total Paid = 0.</t>
  </si>
  <si>
    <t xml:space="preserve">              → Enter the tranche amount + set UPCOMING → shows in Pipeline.</t>
  </si>
  <si>
    <t xml:space="preserve">   PENDING   → Awaiting approval. Total Paid = 0.</t>
  </si>
  <si>
    <t xml:space="preserve">              → Enter the tranche amount + set PENDING → shows in Pipeline.</t>
  </si>
  <si>
    <t xml:space="preserve">   TRANSITION UPCOMING → PAID/PARTIAL :</t>
  </si>
  <si>
    <t xml:space="preserve">   Change Status to PAID or PARTIAL. The amount automatically moves</t>
  </si>
  <si>
    <t xml:space="preserve">   from Pipeline to Total Paid in the Dashboard. No other action needed.</t>
  </si>
  <si>
    <t>3. ADDING A NEW SERVICE PROVIDER</t>
  </si>
  <si>
    <t xml:space="preserve">   WITH VBA (.xlsm) — AUTOMATIC:</t>
  </si>
  <si>
    <t xml:space="preserve">   Type new provider name in col B of MD Register.</t>
  </si>
  <si>
    <t xml:space="preserve">   Lists!D updates instantly. Dashboard shows new row automatically.</t>
  </si>
  <si>
    <t xml:space="preserve">   WITHOUT VBA (.xlsx) — MANUAL:</t>
  </si>
  <si>
    <t xml:space="preserve">   After entering new provider in Register col B,</t>
  </si>
  <si>
    <t xml:space="preserve">   add the name manually to Lists tab col D. Dashboard updates automatically.</t>
  </si>
  <si>
    <t>4. SAVING — CRITICAL</t>
  </si>
  <si>
    <t xml:space="preserve">   For VBA auto-update → save as .XLSM (not .xlsx).</t>
  </si>
  <si>
    <t xml:space="preserve">   File &gt; Save As &gt; Excel Macro-Enabled Workbook (.xlsm)</t>
  </si>
  <si>
    <t xml:space="preserve">   ALWAYS work from this FINAL file. Never revert to the original.</t>
  </si>
  <si>
    <t>5. WORKBOOK ARCHITECTURE</t>
  </si>
  <si>
    <t xml:space="preserve">   MD Register    → SINGLE SOURCE OF TRUTH. All data entered here.</t>
  </si>
  <si>
    <t xml:space="preserve">   Dashboard MD   → Read-only summary. 100% formulas. Never edit.</t>
  </si>
  <si>
    <t xml:space="preserve">   Export_HTML    → Flat table for HTML/reporting export. Auto-calculated.</t>
  </si>
  <si>
    <t xml:space="preserve">   Lists          → Dropdown validation lists. Col D auto-updated by VBA.</t>
  </si>
  <si>
    <t xml:space="preserve">   README         → This guide.</t>
  </si>
  <si>
    <t xml:space="preserve">   VBA_Code       → Macro to install for full automation.</t>
  </si>
  <si>
    <t>P&amp;C Name</t>
  </si>
  <si>
    <t>MD Register Name</t>
  </si>
  <si>
    <t>Nigerian Conservation Foundation (NCF)</t>
  </si>
  <si>
    <t>ESAP SEC 1 &amp;2</t>
  </si>
  <si>
    <t>DynaSmart (Ibrahim Salau)</t>
  </si>
  <si>
    <t>ESAP SOK</t>
  </si>
  <si>
    <t>EddiePerez Investment Ltd</t>
  </si>
  <si>
    <t xml:space="preserve">Eddie Perez Limited </t>
  </si>
  <si>
    <t>NO INVOICE</t>
  </si>
  <si>
    <t>CNA</t>
  </si>
  <si>
    <t>3FM Solutions Ltd</t>
  </si>
  <si>
    <t>3FM Solutions</t>
  </si>
  <si>
    <t>Natural Eco-Capital Ltd</t>
  </si>
  <si>
    <t>Active</t>
  </si>
  <si>
    <t>ESAP Study</t>
  </si>
  <si>
    <t>Ndoni Logistics</t>
  </si>
  <si>
    <t>Signed - Pending</t>
  </si>
  <si>
    <t>LCCH SEC 6</t>
  </si>
  <si>
    <t>Audit</t>
  </si>
  <si>
    <t>Budget Submitted</t>
  </si>
  <si>
    <t>Community Activities</t>
  </si>
  <si>
    <t>H</t>
  </si>
  <si>
    <t>Planned</t>
  </si>
  <si>
    <t>Project E&amp;S Requirements</t>
  </si>
  <si>
    <t>Closed</t>
  </si>
  <si>
    <t>LRP</t>
  </si>
  <si>
    <t>ESAP-LRP</t>
  </si>
  <si>
    <t>Hitech CRM</t>
  </si>
  <si>
    <t>ESAP-SE</t>
  </si>
  <si>
    <t>Asili</t>
  </si>
  <si>
    <t>ECM</t>
  </si>
  <si>
    <t>Other</t>
  </si>
  <si>
    <t>CSR-CNA</t>
  </si>
  <si>
    <t>ESAP &amp; ESG — PROJECTS &amp; CONTRACTS</t>
  </si>
  <si>
    <t>Type</t>
  </si>
  <si>
    <t>Scope / Activity</t>
  </si>
  <si>
    <t>Contract Value (₦)</t>
  </si>
  <si>
    <t>Section</t>
  </si>
  <si>
    <t>Consultancy</t>
  </si>
  <si>
    <t>Biodiversity Management Plan (BMP)</t>
  </si>
  <si>
    <t>LCCH S1 &amp; S2</t>
  </si>
  <si>
    <t>Supplementary Resettlement Action Plan (SRAP)</t>
  </si>
  <si>
    <t>LCCH Section 1</t>
  </si>
  <si>
    <t>Socioeconomic Survey + OD Survey + HRRA</t>
  </si>
  <si>
    <t>Stakeholder Engagement Audit</t>
  </si>
  <si>
    <t>Monitoring</t>
  </si>
  <si>
    <t>Environmental Compliance Monitoring (ECM)</t>
  </si>
  <si>
    <t>Services</t>
  </si>
  <si>
    <t>Community Relations Management (CRM)</t>
  </si>
  <si>
    <t>LCCH</t>
  </si>
  <si>
    <t>Consultant</t>
  </si>
  <si>
    <t>ANTICIPATION — CSR / CNA</t>
  </si>
  <si>
    <t>TBD</t>
  </si>
  <si>
    <t>Corporate Social Responsibility - CNA</t>
  </si>
  <si>
    <t>ANTICIPATION — LRP</t>
  </si>
  <si>
    <t>Livelihood Restoration Program</t>
  </si>
  <si>
    <t>ANTICIPATION — OTHER ACTIVITIES</t>
  </si>
  <si>
    <t>Various</t>
  </si>
  <si>
    <t>Other ESG/ESAP Activities</t>
  </si>
  <si>
    <t>OTHER ACTIVITIES</t>
  </si>
  <si>
    <t>HURRI - LCCH 40%</t>
  </si>
  <si>
    <t>⚠️ SOURCE: Auto-calculated from 'MD Register'. DO NOT EDIT. For HTML export only. Updated in real-time via formulas.</t>
  </si>
  <si>
    <t>HITECH Construction Company Ltd</t>
  </si>
  <si>
    <t>ESG &amp; ESAP Service Provider Payments Dashboard</t>
  </si>
  <si>
    <t>Total Committed (₦)</t>
  </si>
  <si>
    <t>Outstanding Balance (₦)</t>
  </si>
  <si>
    <t>Payment Rate</t>
  </si>
  <si>
    <t>META: row_count</t>
  </si>
  <si>
    <t>META: data_range</t>
  </si>
  <si>
    <t>A9:K108</t>
  </si>
  <si>
    <t>META: source_sheet</t>
  </si>
  <si>
    <t>MD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</si>
</sst>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\-"/>
  </numFmts>
  <fonts count="57" x14ac:knownFonts="1">
    <font>
      <sz val="11"/>
      <color theme="1"/>
      <name val="Calibri"/>
      <family val="2"/>
      <charset val="1"/>
    </font>
    <font>
      <b/>
      <sz val="16"/>
      <color rgb="FFFFFFFF"/>
      <name val="Segoe UI"/>
      <charset val="1"/>
    </font>
    <font>
      <sz val="11"/>
      <name val="Cambria"/>
      <family val="1"/>
    </font>
    <font>
      <sz val="11"/>
      <color rgb="FFDBEAFE"/>
      <name val="Segoe UI"/>
      <charset val="1"/>
    </font>
    <font>
      <b/>
      <sz val="8.5"/>
      <color rgb="FF475569"/>
      <name val="Segoe UI"/>
      <charset val="1"/>
    </font>
    <font>
      <b/>
      <sz val="16"/>
      <color rgb="FF1E293B"/>
      <name val="Segoe UI"/>
      <charset val="1"/>
    </font>
    <font>
      <i/>
      <sz val="8"/>
      <color rgb="FF475569"/>
      <name val="Segoe UI"/>
      <charset val="1"/>
    </font>
    <font>
      <b/>
      <sz val="12"/>
      <color rgb="FF1E293B"/>
      <name val="Segoe UI"/>
      <charset val="1"/>
    </font>
    <font>
      <b/>
      <sz val="9"/>
      <color rgb="FFFFFFFF"/>
      <name val="Segoe UI"/>
      <charset val="1"/>
    </font>
    <font>
      <sz val="9"/>
      <color rgb="FF475569"/>
      <name val="Segoe UI"/>
      <charset val="1"/>
    </font>
    <font>
      <b/>
      <sz val="9.5"/>
      <color rgb="FF1E293B"/>
      <name val="Segoe UI"/>
      <charset val="1"/>
    </font>
    <font>
      <sz val="9.5"/>
      <color rgb="FF1E293B"/>
      <name val="Segoe UI"/>
      <charset val="1"/>
    </font>
    <font>
      <sz val="9.5"/>
      <color rgb="FF10B981"/>
      <name val="Segoe UI"/>
      <charset val="1"/>
    </font>
    <font>
      <sz val="9.5"/>
      <color rgb="FFF59E0B"/>
      <name val="Segoe UI"/>
      <charset val="1"/>
    </font>
    <font>
      <sz val="9.5"/>
      <color rgb="FF475569"/>
      <name val="Segoe UI"/>
      <charset val="1"/>
    </font>
    <font>
      <b/>
      <sz val="9.5"/>
      <color rgb="FF3B82F6"/>
      <name val="Segoe UI"/>
      <charset val="1"/>
    </font>
    <font>
      <b/>
      <sz val="11"/>
      <color rgb="FF1E40AF"/>
      <name val="Segoe UI"/>
      <charset val="1"/>
    </font>
    <font>
      <b/>
      <sz val="10"/>
      <color rgb="FF1E293B"/>
      <name val="Segoe UI"/>
      <charset val="1"/>
    </font>
    <font>
      <b/>
      <sz val="10"/>
      <color rgb="FF3B82F6"/>
      <name val="Segoe UI"/>
      <charset val="1"/>
    </font>
    <font>
      <b/>
      <sz val="9.5"/>
      <color rgb="FF7C3AED"/>
      <name val="Segoe UI"/>
      <charset val="1"/>
    </font>
    <font>
      <i/>
      <sz val="8"/>
      <color rgb="FF94A3B8"/>
      <name val="Segoe UI"/>
      <charset val="1"/>
    </font>
    <font>
      <sz val="8"/>
      <color rgb="FF5A7A95"/>
      <name val="Segoe UI"/>
      <charset val="1"/>
    </font>
    <font>
      <b/>
      <sz val="14"/>
      <color rgb="FFFFFFFF"/>
      <name val="Arial"/>
      <family val="2"/>
      <charset val="1"/>
    </font>
    <font>
      <i/>
      <sz val="9"/>
      <color rgb="FF64748B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FFFFFF"/>
      <name val="Calibri"/>
      <family val="2"/>
      <charset val="1"/>
    </font>
    <font>
      <b/>
      <sz val="9"/>
      <color rgb="FFFFFFFF"/>
      <name val="Arial"/>
      <family val="2"/>
      <charset val="1"/>
    </font>
    <font>
      <sz val="8"/>
      <color rgb="FF000000"/>
      <name val="Calibri"/>
      <family val="2"/>
      <charset val="1"/>
    </font>
    <font>
      <sz val="9"/>
      <color rgb="FF1C2833"/>
      <name val="Calibri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9"/>
      <color rgb="FF1B2A4A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Calibri"/>
      <family val="2"/>
      <charset val="1"/>
    </font>
    <font>
      <b/>
      <sz val="13"/>
      <color rgb="FF1C2833"/>
      <name val="Calibri"/>
      <family val="2"/>
      <charset val="1"/>
    </font>
    <font>
      <sz val="10"/>
      <color rgb="FF1C2833"/>
      <name val="Calibri"/>
      <family val="2"/>
      <charset val="1"/>
    </font>
    <font>
      <b/>
      <sz val="10"/>
      <color rgb="FF1C2833"/>
      <name val="Calibri"/>
      <family val="2"/>
      <charset val="1"/>
    </font>
    <font>
      <sz val="10"/>
      <color rgb="FF1C2833"/>
      <name val="Courier New"/>
      <family val="1"/>
      <charset val="1"/>
    </font>
    <font>
      <b/>
      <sz val="14"/>
      <color rgb="FF1B2A4A"/>
      <name val="Calibri"/>
      <family val="2"/>
      <charset val="1"/>
    </font>
    <font>
      <sz val="9"/>
      <color rgb="FF777777"/>
      <name val="Calibri"/>
      <family val="2"/>
      <charset val="1"/>
    </font>
    <font>
      <sz val="10"/>
      <color rgb="FFFFFFFF"/>
      <name val="Calibri"/>
      <family val="2"/>
      <charset val="1"/>
    </font>
    <font>
      <b/>
      <sz val="10"/>
      <color rgb="FF2E5FA3"/>
      <name val="Calibri"/>
      <family val="2"/>
      <charset val="1"/>
    </font>
    <font>
      <b/>
      <sz val="11"/>
      <color rgb="FF2E5FA3"/>
      <name val="Calibri"/>
      <family val="2"/>
      <charset val="1"/>
    </font>
    <font>
      <sz val="10"/>
      <color rgb="FF0E6655"/>
      <name val="Calibri"/>
      <family val="2"/>
      <charset val="1"/>
    </font>
    <font>
      <b/>
      <sz val="10"/>
      <color rgb="FF6C3483"/>
      <name val="Calibri"/>
      <family val="2"/>
      <charset val="1"/>
    </font>
    <font>
      <sz val="10"/>
      <color rgb="FFC0392B"/>
      <name val="Calibri"/>
      <family val="2"/>
      <charset val="1"/>
    </font>
    <font>
      <b/>
      <sz val="11"/>
      <color rgb="FF1B2A4A"/>
      <name val="Arial"/>
      <family val="2"/>
      <charset val="1"/>
    </font>
    <font>
      <b/>
      <sz val="9"/>
      <color rgb="FFC0392B"/>
      <name val="Calibri"/>
      <family val="2"/>
      <charset val="1"/>
    </font>
    <font>
      <b/>
      <sz val="12"/>
      <color rgb="FF1B2A4A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1B2A4A"/>
      <name val="Calibri"/>
      <family val="2"/>
      <charset val="1"/>
    </font>
    <font>
      <b/>
      <sz val="11"/>
      <color rgb="FF145A32"/>
      <name val="Calibri"/>
      <family val="2"/>
      <charset val="1"/>
    </font>
    <font>
      <sz val="9"/>
      <color rgb="FF000000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1E40AF"/>
        <bgColor rgb="FF2E5FA3"/>
      </patternFill>
    </fill>
    <fill>
      <patternFill patternType="solid">
        <fgColor rgb="FF2563EB"/>
        <bgColor rgb="FF2E5FA3"/>
      </patternFill>
    </fill>
    <fill>
      <patternFill patternType="solid">
        <fgColor rgb="FFF0F2F5"/>
        <bgColor rgb="FFF4F6F7"/>
      </patternFill>
    </fill>
    <fill>
      <patternFill patternType="solid">
        <fgColor rgb="FFFFFFFF"/>
        <bgColor rgb="FFF8FAFC"/>
      </patternFill>
    </fill>
    <fill>
      <patternFill patternType="solid">
        <fgColor rgb="FFEFF6FF"/>
        <bgColor rgb="FFF0F9FF"/>
      </patternFill>
    </fill>
    <fill>
      <patternFill patternType="solid">
        <fgColor rgb="FFECFDF5"/>
        <bgColor rgb="FFF0F9FF"/>
      </patternFill>
    </fill>
    <fill>
      <patternFill patternType="solid">
        <fgColor rgb="FFFFF7ED"/>
        <bgColor rgb="FFFEF2F2"/>
      </patternFill>
    </fill>
    <fill>
      <patternFill patternType="solid">
        <fgColor rgb="FFFEF2F2"/>
        <bgColor rgb="FFFFF7ED"/>
      </patternFill>
    </fill>
    <fill>
      <patternFill patternType="solid">
        <fgColor rgb="FFF0F9FF"/>
        <bgColor rgb="FFEFF6FF"/>
      </patternFill>
    </fill>
    <fill>
      <patternFill patternType="solid">
        <fgColor rgb="FFE8EDF3"/>
        <bgColor rgb="FFE2E8F0"/>
      </patternFill>
    </fill>
    <fill>
      <patternFill patternType="solid">
        <fgColor rgb="FFF8FAFC"/>
        <bgColor rgb="FFF4F6F7"/>
      </patternFill>
    </fill>
    <fill>
      <patternFill patternType="solid">
        <fgColor rgb="FF7C3AED"/>
        <bgColor rgb="FF8B5CF6"/>
      </patternFill>
    </fill>
    <fill>
      <patternFill patternType="solid">
        <fgColor rgb="FF0D1B2A"/>
        <bgColor rgb="FF1C2833"/>
      </patternFill>
    </fill>
    <fill>
      <patternFill patternType="solid">
        <fgColor rgb="FF1B2A4A"/>
        <bgColor rgb="FF1E293B"/>
      </patternFill>
    </fill>
    <fill>
      <patternFill patternType="solid">
        <fgColor rgb="FF3B82F6"/>
        <bgColor rgb="FF4F81BD"/>
      </patternFill>
    </fill>
    <fill>
      <patternFill patternType="solid">
        <fgColor rgb="FF10B981"/>
        <bgColor rgb="FF4F81BD"/>
      </patternFill>
    </fill>
    <fill>
      <patternFill patternType="solid">
        <fgColor rgb="FFF59E0B"/>
        <bgColor rgb="FFB3B3B3"/>
      </patternFill>
    </fill>
    <fill>
      <patternFill patternType="solid">
        <fgColor rgb="FF8B5CF6"/>
        <bgColor rgb="FF7C3AED"/>
      </patternFill>
    </fill>
    <fill>
      <patternFill patternType="solid">
        <fgColor rgb="FFEF4444"/>
        <bgColor rgb="FFC0392B"/>
      </patternFill>
    </fill>
    <fill>
      <patternFill patternType="solid">
        <fgColor rgb="FF935116"/>
        <bgColor rgb="FFC0392B"/>
      </patternFill>
    </fill>
    <fill>
      <patternFill patternType="solid">
        <fgColor rgb="FF64748B"/>
        <bgColor rgb="FF5A7A95"/>
      </patternFill>
    </fill>
    <fill>
      <patternFill patternType="solid">
        <fgColor rgb="FFFEF3C7"/>
        <bgColor rgb="FFFFF7ED"/>
      </patternFill>
    </fill>
    <fill>
      <patternFill patternType="solid">
        <fgColor rgb="FFD6EAF8"/>
        <bgColor rgb="FFDBEAFE"/>
      </patternFill>
    </fill>
    <fill>
      <patternFill patternType="solid">
        <fgColor rgb="FFEBF5FB"/>
        <bgColor rgb="FFEFF6FF"/>
      </patternFill>
    </fill>
    <fill>
      <patternFill patternType="solid">
        <fgColor rgb="FFDBEAFE"/>
        <bgColor rgb="FFD6EAF8"/>
      </patternFill>
    </fill>
    <fill>
      <patternFill patternType="solid">
        <fgColor rgb="FFD1FAE5"/>
        <bgColor rgb="FFD6EAF8"/>
      </patternFill>
    </fill>
    <fill>
      <patternFill patternType="solid">
        <fgColor rgb="FFF4F6F7"/>
        <bgColor rgb="FFEFF6FF"/>
      </patternFill>
    </fill>
  </fills>
  <borders count="19">
    <border>
      <left/>
      <right/>
      <top/>
      <bottom/>
      <diagonal/>
    </border>
    <border>
      <left/>
      <right/>
      <top style="medium">
        <color rgb="FF3B82F6"/>
      </top>
      <bottom/>
      <diagonal/>
    </border>
    <border>
      <left/>
      <right/>
      <top style="medium">
        <color rgb="FF10B981"/>
      </top>
      <bottom/>
      <diagonal/>
    </border>
    <border>
      <left/>
      <right/>
      <top style="medium">
        <color rgb="FFF59E0B"/>
      </top>
      <bottom/>
      <diagonal/>
    </border>
    <border>
      <left/>
      <right/>
      <top style="medium">
        <color rgb="FFEF4444"/>
      </top>
      <bottom/>
      <diagonal/>
    </border>
    <border>
      <left/>
      <right/>
      <top/>
      <bottom style="thin">
        <color rgb="FFE2E8F0"/>
      </bottom>
      <diagonal/>
    </border>
    <border>
      <left style="thick">
        <color rgb="FF3B82F6"/>
      </left>
      <right/>
      <top/>
      <bottom/>
      <diagonal/>
    </border>
    <border>
      <left/>
      <right/>
      <top/>
      <bottom style="hair">
        <color rgb="FFE2E8F0"/>
      </bottom>
      <diagonal/>
    </border>
    <border>
      <left/>
      <right/>
      <top style="medium">
        <color rgb="FF1E40AF"/>
      </top>
      <bottom style="medium">
        <color rgb="FF1E40AF"/>
      </bottom>
      <diagonal/>
    </border>
    <border>
      <left style="thick">
        <color rgb="FFF59E0B"/>
      </left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2" fillId="0" borderId="0" xfId="0" applyFont="1"/>
    <xf numFmtId="0" fontId="2" fillId="4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0" fontId="9" fillId="12" borderId="7" xfId="0" applyFont="1" applyFill="1" applyBorder="1" applyAlignment="1">
      <alignment horizontal="center" vertical="center"/>
    </xf>
    <xf numFmtId="0" fontId="10" fillId="12" borderId="7" xfId="0" applyFont="1" applyFill="1" applyBorder="1"/>
    <xf numFmtId="0" fontId="9" fillId="12" borderId="7" xfId="0" applyFont="1" applyFill="1" applyBorder="1"/>
    <xf numFmtId="3" fontId="11" fillId="12" borderId="7" xfId="0" applyNumberFormat="1" applyFont="1" applyFill="1" applyBorder="1" applyAlignment="1">
      <alignment horizontal="right" vertical="center"/>
    </xf>
    <xf numFmtId="3" fontId="12" fillId="12" borderId="7" xfId="0" applyNumberFormat="1" applyFont="1" applyFill="1" applyBorder="1" applyAlignment="1">
      <alignment horizontal="right" vertical="center"/>
    </xf>
    <xf numFmtId="3" fontId="13" fillId="12" borderId="7" xfId="0" applyNumberFormat="1" applyFont="1" applyFill="1" applyBorder="1" applyAlignment="1">
      <alignment horizontal="right" vertical="center"/>
    </xf>
    <xf numFmtId="3" fontId="14" fillId="12" borderId="7" xfId="0" applyNumberFormat="1" applyFont="1" applyFill="1" applyBorder="1" applyAlignment="1">
      <alignment horizontal="right" vertical="center"/>
    </xf>
    <xf numFmtId="9" fontId="15" fillId="12" borderId="7" xfId="0" applyNumberFormat="1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0" fillId="5" borderId="7" xfId="0" applyFont="1" applyFill="1" applyBorder="1"/>
    <xf numFmtId="0" fontId="9" fillId="5" borderId="7" xfId="0" applyFont="1" applyFill="1" applyBorder="1"/>
    <xf numFmtId="3" fontId="11" fillId="5" borderId="7" xfId="0" applyNumberFormat="1" applyFont="1" applyFill="1" applyBorder="1" applyAlignment="1">
      <alignment horizontal="right" vertical="center"/>
    </xf>
    <xf numFmtId="3" fontId="12" fillId="5" borderId="7" xfId="0" applyNumberFormat="1" applyFont="1" applyFill="1" applyBorder="1" applyAlignment="1">
      <alignment horizontal="right" vertical="center"/>
    </xf>
    <xf numFmtId="3" fontId="13" fillId="5" borderId="7" xfId="0" applyNumberFormat="1" applyFont="1" applyFill="1" applyBorder="1" applyAlignment="1">
      <alignment horizontal="right" vertical="center"/>
    </xf>
    <xf numFmtId="3" fontId="14" fillId="5" borderId="7" xfId="0" applyNumberFormat="1" applyFont="1" applyFill="1" applyBorder="1" applyAlignment="1">
      <alignment horizontal="right" vertical="center"/>
    </xf>
    <xf numFmtId="9" fontId="15" fillId="5" borderId="7" xfId="0" applyNumberFormat="1" applyFont="1" applyFill="1" applyBorder="1" applyAlignment="1">
      <alignment horizontal="center" vertical="center"/>
    </xf>
    <xf numFmtId="3" fontId="17" fillId="6" borderId="8" xfId="0" applyNumberFormat="1" applyFont="1" applyFill="1" applyBorder="1" applyAlignment="1">
      <alignment horizontal="right" vertical="center"/>
    </xf>
    <xf numFmtId="164" fontId="18" fillId="6" borderId="8" xfId="0" applyNumberFormat="1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right" vertical="center"/>
    </xf>
    <xf numFmtId="0" fontId="14" fillId="12" borderId="7" xfId="0" applyFont="1" applyFill="1" applyBorder="1" applyAlignment="1">
      <alignment horizontal="center" vertical="center"/>
    </xf>
    <xf numFmtId="9" fontId="19" fillId="12" borderId="7" xfId="0" applyNumberFormat="1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9" fontId="19" fillId="5" borderId="7" xfId="0" applyNumberFormat="1" applyFont="1" applyFill="1" applyBorder="1" applyAlignment="1">
      <alignment horizontal="center" vertical="center"/>
    </xf>
    <xf numFmtId="3" fontId="2" fillId="4" borderId="0" xfId="0" applyNumberFormat="1" applyFont="1" applyFill="1"/>
    <xf numFmtId="0" fontId="0" fillId="14" borderId="0" xfId="0" applyFill="1"/>
    <xf numFmtId="0" fontId="21" fillId="14" borderId="0" xfId="0" applyFont="1" applyFill="1"/>
    <xf numFmtId="165" fontId="21" fillId="14" borderId="0" xfId="0" applyNumberFormat="1" applyFont="1" applyFill="1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22" fillId="15" borderId="0" xfId="0" applyFont="1" applyFill="1" applyAlignment="1">
      <alignment horizontal="center" vertical="center"/>
    </xf>
    <xf numFmtId="0" fontId="23" fillId="0" borderId="0" xfId="0" applyFont="1" applyAlignment="1">
      <alignment horizontal="center"/>
    </xf>
    <xf numFmtId="0" fontId="24" fillId="15" borderId="0" xfId="0" applyFont="1" applyFill="1" applyAlignment="1">
      <alignment horizontal="center" vertical="center" wrapText="1"/>
    </xf>
    <xf numFmtId="0" fontId="25" fillId="21" borderId="0" xfId="0" applyFont="1" applyFill="1" applyAlignment="1">
      <alignment horizontal="center" vertical="center"/>
    </xf>
    <xf numFmtId="0" fontId="26" fillId="16" borderId="12" xfId="0" applyFont="1" applyFill="1" applyBorder="1" applyAlignment="1">
      <alignment horizontal="center" vertical="center" wrapText="1"/>
    </xf>
    <xf numFmtId="0" fontId="26" fillId="17" borderId="12" xfId="0" applyFont="1" applyFill="1" applyBorder="1" applyAlignment="1">
      <alignment horizontal="center" vertical="center" wrapText="1"/>
    </xf>
    <xf numFmtId="0" fontId="26" fillId="18" borderId="12" xfId="0" applyFont="1" applyFill="1" applyBorder="1" applyAlignment="1">
      <alignment horizontal="center" vertical="center" wrapText="1"/>
    </xf>
    <xf numFmtId="0" fontId="26" fillId="19" borderId="12" xfId="0" applyFont="1" applyFill="1" applyBorder="1" applyAlignment="1">
      <alignment horizontal="center" vertical="center" wrapText="1"/>
    </xf>
    <xf numFmtId="0" fontId="26" fillId="19" borderId="13" xfId="0" applyFont="1" applyFill="1" applyBorder="1" applyAlignment="1">
      <alignment horizontal="center" vertical="center" wrapText="1"/>
    </xf>
    <xf numFmtId="0" fontId="26" fillId="20" borderId="13" xfId="0" applyFont="1" applyFill="1" applyBorder="1" applyAlignment="1">
      <alignment horizontal="center" vertical="center" wrapText="1"/>
    </xf>
    <xf numFmtId="0" fontId="26" fillId="20" borderId="12" xfId="0" applyFont="1" applyFill="1" applyBorder="1" applyAlignment="1">
      <alignment horizontal="center" vertical="center" wrapText="1"/>
    </xf>
    <xf numFmtId="0" fontId="26" fillId="22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9" fillId="0" borderId="12" xfId="0" applyFont="1" applyBorder="1" applyAlignment="1">
      <alignment vertical="top"/>
    </xf>
    <xf numFmtId="0" fontId="30" fillId="0" borderId="12" xfId="0" applyFont="1" applyBorder="1" applyAlignment="1">
      <alignment vertical="top"/>
    </xf>
    <xf numFmtId="2" fontId="31" fillId="23" borderId="14" xfId="0" applyNumberFormat="1" applyFont="1" applyFill="1" applyBorder="1"/>
    <xf numFmtId="3" fontId="31" fillId="23" borderId="14" xfId="0" applyNumberFormat="1" applyFont="1" applyFill="1" applyBorder="1" applyAlignment="1">
      <alignment horizontal="right"/>
    </xf>
    <xf numFmtId="14" fontId="31" fillId="23" borderId="14" xfId="0" applyNumberFormat="1" applyFont="1" applyFill="1" applyBorder="1" applyAlignment="1">
      <alignment horizontal="center"/>
    </xf>
    <xf numFmtId="0" fontId="31" fillId="23" borderId="14" xfId="0" applyFont="1" applyFill="1" applyBorder="1"/>
    <xf numFmtId="4" fontId="31" fillId="23" borderId="14" xfId="0" applyNumberFormat="1" applyFont="1" applyFill="1" applyBorder="1" applyAlignment="1">
      <alignment horizontal="right"/>
    </xf>
    <xf numFmtId="14" fontId="31" fillId="23" borderId="14" xfId="0" applyNumberFormat="1" applyFont="1" applyFill="1" applyBorder="1"/>
    <xf numFmtId="165" fontId="32" fillId="5" borderId="14" xfId="0" applyNumberFormat="1" applyFont="1" applyFill="1" applyBorder="1" applyAlignment="1">
      <alignment horizontal="right"/>
    </xf>
    <xf numFmtId="164" fontId="32" fillId="5" borderId="14" xfId="0" applyNumberFormat="1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31" fillId="23" borderId="14" xfId="0" applyFont="1" applyFill="1" applyBorder="1" applyAlignment="1">
      <alignment horizontal="center"/>
    </xf>
    <xf numFmtId="165" fontId="32" fillId="5" borderId="14" xfId="0" applyNumberFormat="1" applyFont="1" applyFill="1" applyBorder="1"/>
    <xf numFmtId="4" fontId="31" fillId="23" borderId="14" xfId="0" applyNumberFormat="1" applyFont="1" applyFill="1" applyBorder="1"/>
    <xf numFmtId="3" fontId="31" fillId="23" borderId="14" xfId="0" applyNumberFormat="1" applyFont="1" applyFill="1" applyBorder="1"/>
    <xf numFmtId="0" fontId="33" fillId="0" borderId="12" xfId="0" applyFont="1" applyBorder="1" applyAlignment="1">
      <alignment vertical="top"/>
    </xf>
    <xf numFmtId="0" fontId="0" fillId="0" borderId="12" xfId="0" applyBorder="1" applyAlignment="1">
      <alignment vertical="top"/>
    </xf>
    <xf numFmtId="0" fontId="0" fillId="23" borderId="14" xfId="0" applyFill="1" applyBorder="1"/>
    <xf numFmtId="14" fontId="0" fillId="23" borderId="14" xfId="0" applyNumberFormat="1" applyFill="1" applyBorder="1"/>
    <xf numFmtId="0" fontId="0" fillId="23" borderId="14" xfId="0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0" fillId="23" borderId="14" xfId="0" applyFill="1" applyBorder="1" applyAlignment="1">
      <alignment horizontal="center" vertical="top" wrapText="1"/>
    </xf>
    <xf numFmtId="0" fontId="33" fillId="0" borderId="12" xfId="0" applyFont="1" applyBorder="1" applyAlignment="1">
      <alignment vertical="top" wrapText="1"/>
    </xf>
    <xf numFmtId="0" fontId="0" fillId="0" borderId="10" xfId="0" applyBorder="1" applyAlignment="1">
      <alignment vertical="top"/>
    </xf>
    <xf numFmtId="0" fontId="35" fillId="0" borderId="12" xfId="0" applyFont="1" applyBorder="1" applyAlignment="1">
      <alignment vertical="top" wrapText="1"/>
    </xf>
    <xf numFmtId="0" fontId="34" fillId="0" borderId="12" xfId="0" applyFont="1" applyBorder="1" applyAlignment="1">
      <alignment vertical="top"/>
    </xf>
    <xf numFmtId="3" fontId="34" fillId="23" borderId="14" xfId="0" applyNumberFormat="1" applyFont="1" applyFill="1" applyBorder="1"/>
    <xf numFmtId="0" fontId="35" fillId="0" borderId="12" xfId="0" applyFont="1" applyBorder="1" applyAlignment="1">
      <alignment vertical="top"/>
    </xf>
    <xf numFmtId="14" fontId="0" fillId="23" borderId="14" xfId="0" applyNumberFormat="1" applyFill="1" applyBorder="1" applyAlignment="1">
      <alignment horizontal="center"/>
    </xf>
    <xf numFmtId="0" fontId="28" fillId="15" borderId="14" xfId="0" applyFont="1" applyFill="1" applyBorder="1" applyAlignment="1">
      <alignment horizontal="center" vertical="center"/>
    </xf>
    <xf numFmtId="0" fontId="36" fillId="15" borderId="15" xfId="0" applyFont="1" applyFill="1" applyBorder="1" applyAlignment="1">
      <alignment vertical="top"/>
    </xf>
    <xf numFmtId="0" fontId="24" fillId="15" borderId="15" xfId="0" applyFont="1" applyFill="1" applyBorder="1" applyAlignment="1">
      <alignment vertical="top"/>
    </xf>
    <xf numFmtId="3" fontId="24" fillId="15" borderId="14" xfId="0" applyNumberFormat="1" applyFont="1" applyFill="1" applyBorder="1"/>
    <xf numFmtId="0" fontId="24" fillId="15" borderId="14" xfId="0" applyFont="1" applyFill="1" applyBorder="1"/>
    <xf numFmtId="164" fontId="32" fillId="5" borderId="14" xfId="0" applyNumberFormat="1" applyFont="1" applyFill="1" applyBorder="1"/>
    <xf numFmtId="0" fontId="24" fillId="15" borderId="14" xfId="0" applyFont="1" applyFill="1" applyBorder="1" applyAlignment="1">
      <alignment horizontal="center"/>
    </xf>
    <xf numFmtId="0" fontId="37" fillId="15" borderId="14" xfId="0" applyFont="1" applyFill="1" applyBorder="1" applyAlignment="1">
      <alignment horizontal="left" vertical="center"/>
    </xf>
    <xf numFmtId="0" fontId="0" fillId="15" borderId="14" xfId="0" applyFill="1" applyBorder="1"/>
    <xf numFmtId="3" fontId="37" fillId="15" borderId="14" xfId="0" applyNumberFormat="1" applyFont="1" applyFill="1" applyBorder="1" applyAlignment="1">
      <alignment horizontal="right" vertical="center"/>
    </xf>
    <xf numFmtId="164" fontId="37" fillId="15" borderId="14" xfId="0" applyNumberFormat="1" applyFont="1" applyFill="1" applyBorder="1" applyAlignment="1">
      <alignment horizontal="right" vertical="center"/>
    </xf>
    <xf numFmtId="0" fontId="38" fillId="0" borderId="0" xfId="0" applyFont="1"/>
    <xf numFmtId="0" fontId="39" fillId="0" borderId="0" xfId="0" applyFont="1"/>
    <xf numFmtId="0" fontId="40" fillId="0" borderId="0" xfId="0" applyFont="1"/>
    <xf numFmtId="0" fontId="37" fillId="24" borderId="0" xfId="0" applyFont="1" applyFill="1"/>
    <xf numFmtId="0" fontId="41" fillId="0" borderId="0" xfId="0" applyFont="1"/>
    <xf numFmtId="0" fontId="40" fillId="24" borderId="0" xfId="0" applyFont="1" applyFill="1"/>
    <xf numFmtId="0" fontId="42" fillId="15" borderId="0" xfId="0" applyFont="1" applyFill="1"/>
    <xf numFmtId="0" fontId="43" fillId="0" borderId="0" xfId="0" applyFont="1"/>
    <xf numFmtId="0" fontId="44" fillId="0" borderId="0" xfId="0" applyFont="1"/>
    <xf numFmtId="0" fontId="45" fillId="25" borderId="0" xfId="0" applyFont="1" applyFill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24" fillId="15" borderId="0" xfId="0" applyFont="1" applyFill="1" applyAlignment="1">
      <alignment horizontal="center"/>
    </xf>
    <xf numFmtId="0" fontId="24" fillId="15" borderId="12" xfId="0" applyFont="1" applyFill="1" applyBorder="1" applyAlignment="1">
      <alignment horizontal="center" vertical="center" wrapText="1"/>
    </xf>
    <xf numFmtId="0" fontId="30" fillId="0" borderId="12" xfId="0" applyFont="1" applyBorder="1"/>
    <xf numFmtId="3" fontId="31" fillId="23" borderId="12" xfId="0" applyNumberFormat="1" applyFont="1" applyFill="1" applyBorder="1" applyAlignment="1">
      <alignment horizontal="right"/>
    </xf>
    <xf numFmtId="3" fontId="30" fillId="0" borderId="12" xfId="0" applyNumberFormat="1" applyFont="1" applyBorder="1" applyAlignment="1">
      <alignment horizontal="right"/>
    </xf>
    <xf numFmtId="0" fontId="30" fillId="26" borderId="12" xfId="0" applyFont="1" applyFill="1" applyBorder="1"/>
    <xf numFmtId="0" fontId="30" fillId="27" borderId="12" xfId="0" applyFont="1" applyFill="1" applyBorder="1"/>
    <xf numFmtId="0" fontId="30" fillId="8" borderId="12" xfId="0" applyFont="1" applyFill="1" applyBorder="1"/>
    <xf numFmtId="0" fontId="0" fillId="15" borderId="12" xfId="0" applyFill="1" applyBorder="1"/>
    <xf numFmtId="0" fontId="24" fillId="15" borderId="12" xfId="0" applyFont="1" applyFill="1" applyBorder="1"/>
    <xf numFmtId="3" fontId="24" fillId="15" borderId="12" xfId="0" applyNumberFormat="1" applyFont="1" applyFill="1" applyBorder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3" fontId="55" fillId="0" borderId="0" xfId="0" applyNumberFormat="1" applyFont="1"/>
    <xf numFmtId="164" fontId="55" fillId="0" borderId="0" xfId="0" applyNumberFormat="1" applyFont="1"/>
    <xf numFmtId="0" fontId="25" fillId="15" borderId="14" xfId="0" applyFont="1" applyFill="1" applyBorder="1" applyAlignment="1">
      <alignment horizontal="center" vertical="center" wrapText="1"/>
    </xf>
    <xf numFmtId="3" fontId="56" fillId="28" borderId="14" xfId="0" applyNumberFormat="1" applyFont="1" applyFill="1" applyBorder="1" applyAlignment="1">
      <alignment horizontal="center" vertical="center"/>
    </xf>
    <xf numFmtId="0" fontId="56" fillId="28" borderId="14" xfId="0" applyFont="1" applyFill="1" applyBorder="1" applyAlignment="1">
      <alignment horizontal="left" vertical="center"/>
    </xf>
    <xf numFmtId="0" fontId="56" fillId="28" borderId="14" xfId="0" applyFont="1" applyFill="1" applyBorder="1" applyAlignment="1">
      <alignment horizontal="center" vertical="center"/>
    </xf>
    <xf numFmtId="165" fontId="56" fillId="28" borderId="14" xfId="0" applyNumberFormat="1" applyFont="1" applyFill="1" applyBorder="1" applyAlignment="1">
      <alignment horizontal="center" vertical="center"/>
    </xf>
    <xf numFmtId="164" fontId="56" fillId="28" borderId="14" xfId="0" applyNumberFormat="1" applyFont="1" applyFill="1" applyBorder="1" applyAlignment="1">
      <alignment horizontal="center" vertical="center"/>
    </xf>
    <xf numFmtId="3" fontId="56" fillId="5" borderId="14" xfId="0" applyNumberFormat="1" applyFont="1" applyFill="1" applyBorder="1" applyAlignment="1">
      <alignment horizontal="center" vertical="center"/>
    </xf>
    <xf numFmtId="0" fontId="56" fillId="5" borderId="14" xfId="0" applyFont="1" applyFill="1" applyBorder="1" applyAlignment="1">
      <alignment horizontal="left" vertical="center"/>
    </xf>
    <xf numFmtId="0" fontId="56" fillId="5" borderId="14" xfId="0" applyFont="1" applyFill="1" applyBorder="1" applyAlignment="1">
      <alignment horizontal="center" vertical="center"/>
    </xf>
    <xf numFmtId="165" fontId="56" fillId="5" borderId="14" xfId="0" applyNumberFormat="1" applyFont="1" applyFill="1" applyBorder="1" applyAlignment="1">
      <alignment horizontal="center" vertical="center"/>
    </xf>
    <xf numFmtId="164" fontId="56" fillId="5" borderId="14" xfId="0" applyNumberFormat="1" applyFont="1" applyFill="1" applyBorder="1" applyAlignment="1">
      <alignment horizontal="center" vertical="center"/>
    </xf>
    <xf numFmtId="0" fontId="37" fillId="15" borderId="14" xfId="0" applyFont="1" applyFill="1" applyBorder="1" applyAlignment="1">
      <alignment horizontal="right" vertical="center"/>
    </xf>
    <xf numFmtId="0" fontId="20" fillId="11" borderId="0" xfId="0" applyFont="1" applyFill="1" applyAlignment="1">
      <alignment horizontal="center" vertical="center"/>
    </xf>
    <xf numFmtId="0" fontId="0" fillId="0" borderId="0" xfId="0"/>
    <xf numFmtId="0" fontId="7" fillId="5" borderId="6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/>
    </xf>
    <xf numFmtId="0" fontId="0" fillId="0" borderId="5" xfId="0" applyBorder="1"/>
    <xf numFmtId="0" fontId="4" fillId="5" borderId="2" xfId="0" applyFont="1" applyFill="1" applyBorder="1" applyAlignment="1">
      <alignment horizontal="center" vertical="center"/>
    </xf>
    <xf numFmtId="0" fontId="0" fillId="0" borderId="2" xfId="0" applyBorder="1"/>
    <xf numFmtId="164" fontId="5" fillId="5" borderId="5" xfId="0" applyNumberFormat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vertical="center"/>
    </xf>
    <xf numFmtId="0" fontId="0" fillId="0" borderId="8" xfId="0" applyBorder="1"/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  <xf numFmtId="0" fontId="4" fillId="5" borderId="4" xfId="0" applyFont="1" applyFill="1" applyBorder="1" applyAlignment="1">
      <alignment horizontal="center" vertical="center"/>
    </xf>
    <xf numFmtId="0" fontId="0" fillId="0" borderId="4" xfId="0" applyBorder="1"/>
    <xf numFmtId="0" fontId="4" fillId="5" borderId="3" xfId="0" applyFont="1" applyFill="1" applyBorder="1" applyAlignment="1">
      <alignment horizontal="center" vertical="center"/>
    </xf>
    <xf numFmtId="0" fontId="0" fillId="0" borderId="3" xfId="0" applyBorder="1"/>
    <xf numFmtId="0" fontId="6" fillId="11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0" fontId="24" fillId="15" borderId="10" xfId="0" applyFont="1" applyFill="1" applyBorder="1" applyAlignment="1">
      <alignment horizontal="center" vertical="center" wrapText="1"/>
    </xf>
    <xf numFmtId="0" fontId="0" fillId="0" borderId="16" xfId="0" applyBorder="1"/>
    <xf numFmtId="0" fontId="24" fillId="15" borderId="10" xfId="0" applyFont="1" applyFill="1" applyBorder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24" fillId="18" borderId="0" xfId="0" applyFont="1" applyFill="1" applyAlignment="1">
      <alignment horizontal="center" vertical="center"/>
    </xf>
    <xf numFmtId="0" fontId="24" fillId="20" borderId="11" xfId="0" applyFont="1" applyFill="1" applyBorder="1" applyAlignment="1">
      <alignment horizontal="center" vertical="center"/>
    </xf>
    <xf numFmtId="0" fontId="0" fillId="0" borderId="11" xfId="0" applyBorder="1"/>
    <xf numFmtId="0" fontId="24" fillId="16" borderId="0" xfId="0" applyFont="1" applyFill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0" fontId="24" fillId="19" borderId="0" xfId="0" applyFont="1" applyFill="1" applyAlignment="1">
      <alignment horizontal="center" vertical="center"/>
    </xf>
    <xf numFmtId="0" fontId="23" fillId="0" borderId="0" xfId="0" applyFont="1" applyAlignment="1">
      <alignment horizontal="center"/>
    </xf>
    <xf numFmtId="0" fontId="50" fillId="4" borderId="0" xfId="0" applyFont="1" applyFill="1" applyAlignment="1">
      <alignment horizontal="left" vertical="center"/>
    </xf>
    <xf numFmtId="0" fontId="37" fillId="15" borderId="14" xfId="0" applyFont="1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2F2"/>
      <rgbColor rgb="FFFF00FF"/>
      <rgbColor rgb="FFEFF6FF"/>
      <rgbColor rgb="FF800000"/>
      <rgbColor rgb="FF145A32"/>
      <rgbColor rgb="FF000080"/>
      <rgbColor rgb="FF5A7A95"/>
      <rgbColor rgb="FF7C3AED"/>
      <rgbColor rgb="FF0E6655"/>
      <rgbColor rgb="FFCCCCCC"/>
      <rgbColor rgb="FF777777"/>
      <rgbColor rgb="FF8B5CF6"/>
      <rgbColor rgb="FF6C3483"/>
      <rgbColor rgb="FFFEF3C7"/>
      <rgbColor rgb="FFD6EAF8"/>
      <rgbColor rgb="FF475569"/>
      <rgbColor rgb="FFDBEAFE"/>
      <rgbColor rgb="FF2E5FA3"/>
      <rgbColor rgb="FFCBD5E1"/>
      <rgbColor rgb="FF000080"/>
      <rgbColor rgb="FFFF00FF"/>
      <rgbColor rgb="FFF0F2F5"/>
      <rgbColor rgb="FFF0F9FF"/>
      <rgbColor rgb="FF800080"/>
      <rgbColor rgb="FF800000"/>
      <rgbColor rgb="FF4F81BD"/>
      <rgbColor rgb="FF0000FF"/>
      <rgbColor rgb="FFF8FAFC"/>
      <rgbColor rgb="FFECFDF5"/>
      <rgbColor rgb="FFD1FAE5"/>
      <rgbColor rgb="FFFFF7ED"/>
      <rgbColor rgb="FFB3B3B3"/>
      <rgbColor rgb="FFE8EDF3"/>
      <rgbColor rgb="FFE2E8F0"/>
      <rgbColor rgb="FFD9D9D9"/>
      <rgbColor rgb="FF2563EB"/>
      <rgbColor rgb="FF3B82F6"/>
      <rgbColor rgb="FFEBF5FB"/>
      <rgbColor rgb="FFF4F6F7"/>
      <rgbColor rgb="FFF59E0B"/>
      <rgbColor rgb="FFEF4444"/>
      <rgbColor rgb="FF64748B"/>
      <rgbColor rgb="FF94A3B8"/>
      <rgbColor rgb="FF1B2A4A"/>
      <rgbColor rgb="FF10B981"/>
      <rgbColor rgb="FF0D1B2A"/>
      <rgbColor rgb="FF1C2833"/>
      <rgbColor rgb="FF935116"/>
      <rgbColor rgb="FFC0392B"/>
      <rgbColor rgb="FF1E40A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fr-FR" sz="1800" b="1" strike="noStrike">
                <a:solidFill>
                  <a:srgbClr val="000000"/>
                </a:solidFill>
                <a:uFillTx/>
                <a:latin typeface="Calibri"/>
              </a:rPr>
              <a:t>Budget Allocation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  <a:prstDash val="solid"/>
            </a:ln>
          </c:spPr>
          <c:cat>
            <c:strRef>
              <c:f>'Dashboard MD'!$L$57:$L$59</c:f>
              <c:strCache>
                <c:ptCount val="3"/>
                <c:pt idx="0">
                  <c:v>Paid</c:v>
                </c:pt>
                <c:pt idx="1">
                  <c:v>Pipeline</c:v>
                </c:pt>
                <c:pt idx="2">
                  <c:v>Unscheduled</c:v>
                </c:pt>
              </c:strCache>
            </c:strRef>
          </c:cat>
          <c:val>
            <c:numRef>
              <c:f>'Dashboard MD'!$M$57:$M$59</c:f>
            </c:numRef>
          </c:val>
          <c:extLst>
            <c:ext xmlns:c16="http://schemas.microsoft.com/office/drawing/2014/chart" uri="{C3380CC4-5D6E-409C-BE32-E72D297353CC}">
              <c16:uniqueId val="{00000000-D721-7A43-BBCC-9B3F35682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fr-FR" sz="1800" b="1" strike="noStrike">
                <a:solidFill>
                  <a:srgbClr val="000000"/>
                </a:solidFill>
                <a:uFillTx/>
                <a:latin typeface="Calibri"/>
              </a:rPr>
              <a:t>Provider Payments Breakdown</a:t>
            </a:r>
          </a:p>
        </c:rich>
      </c:tx>
      <c:layout>
        <c:manualLayout>
          <c:xMode val="edge"/>
          <c:yMode val="edge"/>
          <c:x val="0.25241063653939816"/>
          <c:y val="0"/>
        </c:manualLayout>
      </c:layout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'Dashboard MD'!$F$11</c:f>
              <c:strCache>
                <c:ptCount val="1"/>
                <c:pt idx="0">
                  <c:v>Paid (₦)</c:v>
                </c:pt>
              </c:strCache>
            </c:strRef>
          </c:tx>
          <c:spPr>
            <a:solidFill>
              <a:srgbClr val="10B98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MD'!$B$12:$B$24</c:f>
              <c:strCache>
                <c:ptCount val="13"/>
                <c:pt idx="0">
                  <c:v>NCF</c:v>
                </c:pt>
                <c:pt idx="1">
                  <c:v>DynaSmart</c:v>
                </c:pt>
                <c:pt idx="2">
                  <c:v>CEO Advisory</c:v>
                </c:pt>
                <c:pt idx="3">
                  <c:v>Eddie Perez Limited</c:v>
                </c:pt>
                <c:pt idx="4">
                  <c:v>David Omaghomi</c:v>
                </c:pt>
                <c:pt idx="5">
                  <c:v>Ndoni Logistic</c:v>
                </c:pt>
                <c:pt idx="6">
                  <c:v>Hitech-CRM</c:v>
                </c:pt>
                <c:pt idx="7">
                  <c:v>Beachtv Media Limited</c:v>
                </c:pt>
                <c:pt idx="8">
                  <c:v>G&amp;B PRINTING PRESS AND BUSINESS CENTER</c:v>
                </c:pt>
                <c:pt idx="9">
                  <c:v>Lifeline Option Enterprises</c:v>
                </c:pt>
                <c:pt idx="10">
                  <c:v>CRM Office and SRAP Team</c:v>
                </c:pt>
                <c:pt idx="11">
                  <c:v>EcoConserv</c:v>
                </c:pt>
                <c:pt idx="12">
                  <c:v>Hitech CRM</c:v>
                </c:pt>
              </c:strCache>
            </c:strRef>
          </c:cat>
          <c:val>
            <c:numRef>
              <c:f>'Dashboard MD'!$F$12:$F$24</c:f>
              <c:numCache>
                <c:formatCode>#,##0</c:formatCode>
                <c:ptCount val="13"/>
                <c:pt idx="0">
                  <c:v>62264320.390000001</c:v>
                </c:pt>
                <c:pt idx="1">
                  <c:v>295098196.86000001</c:v>
                </c:pt>
                <c:pt idx="2">
                  <c:v>6030000</c:v>
                </c:pt>
                <c:pt idx="3">
                  <c:v>109481532</c:v>
                </c:pt>
                <c:pt idx="4">
                  <c:v>19964000</c:v>
                </c:pt>
                <c:pt idx="5">
                  <c:v>3100000</c:v>
                </c:pt>
                <c:pt idx="6">
                  <c:v>3964400</c:v>
                </c:pt>
                <c:pt idx="7">
                  <c:v>120000</c:v>
                </c:pt>
                <c:pt idx="8">
                  <c:v>0</c:v>
                </c:pt>
                <c:pt idx="9">
                  <c:v>790000</c:v>
                </c:pt>
                <c:pt idx="10">
                  <c:v>0</c:v>
                </c:pt>
                <c:pt idx="11">
                  <c:v>7383780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5-3A44-A588-478E4F6790B5}"/>
            </c:ext>
          </c:extLst>
        </c:ser>
        <c:ser>
          <c:idx val="1"/>
          <c:order val="1"/>
          <c:tx>
            <c:strRef>
              <c:f>'Dashboard MD'!$G$11</c:f>
              <c:strCache>
                <c:ptCount val="1"/>
                <c:pt idx="0">
                  <c:v>Pipeline (₦)</c:v>
                </c:pt>
              </c:strCache>
            </c:strRef>
          </c:tx>
          <c:spPr>
            <a:solidFill>
              <a:srgbClr val="F59E0B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MD'!$B$12:$B$24</c:f>
              <c:strCache>
                <c:ptCount val="13"/>
                <c:pt idx="0">
                  <c:v>NCF</c:v>
                </c:pt>
                <c:pt idx="1">
                  <c:v>DynaSmart</c:v>
                </c:pt>
                <c:pt idx="2">
                  <c:v>CEO Advisory</c:v>
                </c:pt>
                <c:pt idx="3">
                  <c:v>Eddie Perez Limited</c:v>
                </c:pt>
                <c:pt idx="4">
                  <c:v>David Omaghomi</c:v>
                </c:pt>
                <c:pt idx="5">
                  <c:v>Ndoni Logistic</c:v>
                </c:pt>
                <c:pt idx="6">
                  <c:v>Hitech-CRM</c:v>
                </c:pt>
                <c:pt idx="7">
                  <c:v>Beachtv Media Limited</c:v>
                </c:pt>
                <c:pt idx="8">
                  <c:v>G&amp;B PRINTING PRESS AND BUSINESS CENTER</c:v>
                </c:pt>
                <c:pt idx="9">
                  <c:v>Lifeline Option Enterprises</c:v>
                </c:pt>
                <c:pt idx="10">
                  <c:v>CRM Office and SRAP Team</c:v>
                </c:pt>
                <c:pt idx="11">
                  <c:v>EcoConserv</c:v>
                </c:pt>
                <c:pt idx="12">
                  <c:v>Hitech CRM</c:v>
                </c:pt>
              </c:strCache>
            </c:strRef>
          </c:cat>
          <c:val>
            <c:numRef>
              <c:f>'Dashboard MD'!$G$12:$G$24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10000000</c:v>
                </c:pt>
                <c:pt idx="5">
                  <c:v>0</c:v>
                </c:pt>
                <c:pt idx="6">
                  <c:v>0</c:v>
                </c:pt>
                <c:pt idx="7">
                  <c:v>250000</c:v>
                </c:pt>
                <c:pt idx="8">
                  <c:v>1514500</c:v>
                </c:pt>
                <c:pt idx="9">
                  <c:v>210000</c:v>
                </c:pt>
                <c:pt idx="10">
                  <c:v>872000</c:v>
                </c:pt>
                <c:pt idx="11">
                  <c:v>9379015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5-3A44-A588-478E4F6790B5}"/>
            </c:ext>
          </c:extLst>
        </c:ser>
        <c:ser>
          <c:idx val="2"/>
          <c:order val="2"/>
          <c:tx>
            <c:strRef>
              <c:f>'Dashboard MD'!$H$11</c:f>
              <c:strCache>
                <c:ptCount val="1"/>
                <c:pt idx="0">
                  <c:v>Unscheduled (₦)</c:v>
                </c:pt>
              </c:strCache>
            </c:strRef>
          </c:tx>
          <c:spPr>
            <a:solidFill>
              <a:srgbClr val="CBD5E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MD'!$B$12:$B$24</c:f>
              <c:strCache>
                <c:ptCount val="13"/>
                <c:pt idx="0">
                  <c:v>NCF</c:v>
                </c:pt>
                <c:pt idx="1">
                  <c:v>DynaSmart</c:v>
                </c:pt>
                <c:pt idx="2">
                  <c:v>CEO Advisory</c:v>
                </c:pt>
                <c:pt idx="3">
                  <c:v>Eddie Perez Limited</c:v>
                </c:pt>
                <c:pt idx="4">
                  <c:v>David Omaghomi</c:v>
                </c:pt>
                <c:pt idx="5">
                  <c:v>Ndoni Logistic</c:v>
                </c:pt>
                <c:pt idx="6">
                  <c:v>Hitech-CRM</c:v>
                </c:pt>
                <c:pt idx="7">
                  <c:v>Beachtv Media Limited</c:v>
                </c:pt>
                <c:pt idx="8">
                  <c:v>G&amp;B PRINTING PRESS AND BUSINESS CENTER</c:v>
                </c:pt>
                <c:pt idx="9">
                  <c:v>Lifeline Option Enterprises</c:v>
                </c:pt>
                <c:pt idx="10">
                  <c:v>CRM Office and SRAP Team</c:v>
                </c:pt>
                <c:pt idx="11">
                  <c:v>EcoConserv</c:v>
                </c:pt>
                <c:pt idx="12">
                  <c:v>Hitech CRM</c:v>
                </c:pt>
              </c:strCache>
            </c:strRef>
          </c:cat>
          <c:val>
            <c:numRef>
              <c:f>'Dashboard MD'!$H$12:$H$24</c:f>
              <c:numCache>
                <c:formatCode>#,##0</c:formatCode>
                <c:ptCount val="13"/>
                <c:pt idx="0">
                  <c:v>20670575.609999999</c:v>
                </c:pt>
                <c:pt idx="1">
                  <c:v>159098473.09999996</c:v>
                </c:pt>
                <c:pt idx="2">
                  <c:v>4020000</c:v>
                </c:pt>
                <c:pt idx="3">
                  <c:v>21182568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7849805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05-3A44-A588-478E4F679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617148"/>
        <c:axId val="84734335"/>
      </c:barChart>
      <c:catAx>
        <c:axId val="926171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84734335"/>
        <c:crosses val="autoZero"/>
        <c:auto val="1"/>
        <c:lblAlgn val="ctr"/>
        <c:lblOffset val="100"/>
        <c:noMultiLvlLbl val="0"/>
      </c:catAx>
      <c:valAx>
        <c:axId val="8473433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92617148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23</xdr:col>
      <xdr:colOff>340560</xdr:colOff>
      <xdr:row>20</xdr:row>
      <xdr:rowOff>104040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177800</xdr:colOff>
      <xdr:row>21</xdr:row>
      <xdr:rowOff>59267</xdr:rowOff>
    </xdr:from>
    <xdr:to>
      <xdr:col>23</xdr:col>
      <xdr:colOff>289760</xdr:colOff>
      <xdr:row>36</xdr:row>
      <xdr:rowOff>164761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B82F6"/>
    <pageSetUpPr fitToPage="1"/>
  </sheetPr>
  <dimension ref="A1:T89"/>
  <sheetViews>
    <sheetView showGridLines="0" topLeftCell="B11" zoomScale="150" zoomScaleNormal="150" workbookViewId="0">
      <pane ySplit="11" topLeftCell="A22" activePane="bottomLeft" state="frozen"/>
      <selection activeCell="A11" sqref="A11"/>
      <selection pane="bottomLeft" activeCell="H28" sqref="H28"/>
    </sheetView>
  </sheetViews>
  <sheetFormatPr baseColWidth="10" defaultColWidth="8.73046875" defaultRowHeight="14.25" x14ac:dyDescent="0.45"/>
  <cols>
    <col min="1" max="1" width="5" customWidth="1"/>
    <col min="2" max="2" width="28" customWidth="1"/>
    <col min="3" max="3" width="18" customWidth="1"/>
    <col min="4" max="4" width="16" customWidth="1"/>
    <col min="5" max="8" width="20" customWidth="1"/>
    <col min="9" max="9" width="14" customWidth="1"/>
    <col min="10" max="12" width="3" customWidth="1"/>
    <col min="13" max="16" width="18" hidden="1" customWidth="1"/>
  </cols>
  <sheetData>
    <row r="1" spans="1:20" ht="45" customHeight="1" x14ac:dyDescent="0.45">
      <c r="A1" s="157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"/>
      <c r="P1" s="1"/>
      <c r="Q1" s="1"/>
      <c r="R1" s="1"/>
      <c r="S1" s="1"/>
      <c r="T1" s="1"/>
    </row>
    <row r="2" spans="1:20" ht="30" customHeight="1" x14ac:dyDescent="0.45">
      <c r="A2" s="142" t="s">
        <v>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"/>
      <c r="P2" s="1"/>
      <c r="Q2" s="1"/>
      <c r="R2" s="1"/>
      <c r="S2" s="1"/>
      <c r="T2" s="1"/>
    </row>
    <row r="3" spans="1:20" ht="9.75" customHeigh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  <c r="P3" s="1"/>
      <c r="Q3" s="1"/>
      <c r="R3" s="1"/>
      <c r="S3" s="1"/>
      <c r="T3" s="1"/>
    </row>
    <row r="4" spans="1:20" ht="19.5" customHeight="1" x14ac:dyDescent="0.45">
      <c r="A4" s="150" t="s">
        <v>2</v>
      </c>
      <c r="B4" s="151"/>
      <c r="C4" s="145" t="s">
        <v>3</v>
      </c>
      <c r="D4" s="146"/>
      <c r="E4" s="154" t="s">
        <v>4</v>
      </c>
      <c r="F4" s="155"/>
      <c r="G4" s="152" t="s">
        <v>5</v>
      </c>
      <c r="H4" s="153"/>
      <c r="I4" s="150" t="s">
        <v>6</v>
      </c>
      <c r="J4" s="151"/>
      <c r="K4" s="2"/>
      <c r="L4" s="2"/>
      <c r="M4" s="2"/>
      <c r="N4" s="2"/>
      <c r="O4" s="1"/>
      <c r="P4" s="1"/>
      <c r="Q4" s="1"/>
      <c r="R4" s="1"/>
      <c r="S4" s="1"/>
      <c r="T4" s="1"/>
    </row>
    <row r="5" spans="1:20" ht="34.5" customHeight="1" x14ac:dyDescent="0.45">
      <c r="A5" s="143">
        <f>SUM('MD Register'!F5:F102)</f>
        <v>752471165.96000004</v>
      </c>
      <c r="B5" s="144"/>
      <c r="C5" s="143">
        <f>SUM('MD Register'!V5:V102)</f>
        <v>508196229.25</v>
      </c>
      <c r="D5" s="144"/>
      <c r="E5" s="143">
        <f>SUM('MD Register'!AC5:AC102)</f>
        <v>31453515</v>
      </c>
      <c r="F5" s="144"/>
      <c r="G5" s="143">
        <f>A5-C5-E5</f>
        <v>212821421.71000004</v>
      </c>
      <c r="H5" s="144"/>
      <c r="I5" s="147">
        <f>IF(A5=0,0,C5/A5)</f>
        <v>0.67536970483333414</v>
      </c>
      <c r="J5" s="144"/>
      <c r="K5" s="2"/>
      <c r="L5" s="2"/>
      <c r="M5" s="2"/>
      <c r="N5" s="2"/>
      <c r="O5" s="1"/>
      <c r="P5" s="1"/>
      <c r="Q5" s="1"/>
      <c r="R5" s="1"/>
      <c r="S5" s="1"/>
      <c r="T5" s="1"/>
    </row>
    <row r="6" spans="1:20" ht="4.5" customHeight="1" x14ac:dyDescent="0.45">
      <c r="A6" s="3"/>
      <c r="B6" s="3"/>
      <c r="C6" s="4"/>
      <c r="D6" s="4"/>
      <c r="E6" s="5"/>
      <c r="F6" s="5"/>
      <c r="G6" s="6"/>
      <c r="H6" s="6"/>
      <c r="I6" s="7"/>
      <c r="J6" s="7"/>
      <c r="K6" s="2"/>
      <c r="L6" s="2"/>
      <c r="M6" s="2"/>
      <c r="N6" s="2"/>
      <c r="O6" s="1"/>
      <c r="P6" s="1"/>
      <c r="Q6" s="1"/>
      <c r="R6" s="1"/>
      <c r="S6" s="1"/>
      <c r="T6" s="1"/>
    </row>
    <row r="7" spans="1:20" ht="4.5" customHeight="1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"/>
      <c r="P7" s="1"/>
      <c r="Q7" s="1"/>
      <c r="R7" s="1"/>
      <c r="S7" s="1"/>
      <c r="T7" s="1"/>
    </row>
    <row r="8" spans="1:20" ht="19.5" customHeight="1" x14ac:dyDescent="0.45">
      <c r="A8" s="156" t="s">
        <v>7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"/>
      <c r="P8" s="1"/>
      <c r="Q8" s="1"/>
      <c r="R8" s="1"/>
      <c r="S8" s="1"/>
      <c r="T8" s="1"/>
    </row>
    <row r="9" spans="1:20" ht="7.5" customHeight="1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"/>
      <c r="P9" s="1"/>
      <c r="Q9" s="1"/>
      <c r="R9" s="1"/>
      <c r="S9" s="1"/>
      <c r="T9" s="1"/>
    </row>
    <row r="10" spans="1:20" ht="31.5" customHeight="1" x14ac:dyDescent="0.45">
      <c r="A10" s="141" t="s">
        <v>8</v>
      </c>
      <c r="B10" s="140"/>
      <c r="C10" s="140"/>
      <c r="D10" s="140"/>
      <c r="E10" s="140"/>
      <c r="F10" s="140"/>
      <c r="G10" s="140"/>
      <c r="H10" s="140"/>
      <c r="I10" s="140"/>
      <c r="J10" s="2"/>
      <c r="K10" s="2"/>
      <c r="L10" s="2"/>
      <c r="M10" s="2"/>
      <c r="N10" s="2"/>
      <c r="O10" s="1"/>
      <c r="P10" s="1"/>
      <c r="Q10" s="1"/>
      <c r="R10" s="1"/>
      <c r="S10" s="1"/>
      <c r="T10" s="1"/>
    </row>
    <row r="11" spans="1:20" ht="27.75" customHeight="1" x14ac:dyDescent="0.45">
      <c r="A11" s="8" t="s">
        <v>9</v>
      </c>
      <c r="B11" s="9" t="s">
        <v>10</v>
      </c>
      <c r="C11" s="9" t="s">
        <v>11</v>
      </c>
      <c r="D11" s="9" t="s">
        <v>12</v>
      </c>
      <c r="E11" s="10" t="s">
        <v>13</v>
      </c>
      <c r="F11" s="10" t="s">
        <v>14</v>
      </c>
      <c r="G11" s="10" t="s">
        <v>15</v>
      </c>
      <c r="H11" s="10" t="s">
        <v>16</v>
      </c>
      <c r="I11" s="8" t="s">
        <v>17</v>
      </c>
      <c r="J11" s="2"/>
      <c r="K11" s="2"/>
      <c r="L11" s="2"/>
      <c r="M11" s="2"/>
      <c r="N11" s="2"/>
      <c r="O11" s="1"/>
      <c r="P11" s="1"/>
      <c r="Q11" s="1"/>
      <c r="R11" s="1"/>
      <c r="S11" s="1"/>
      <c r="T11" s="1"/>
    </row>
    <row r="12" spans="1:20" ht="24" customHeight="1" x14ac:dyDescent="0.55000000000000004">
      <c r="A12" s="11">
        <f>IF(Lists!D2="","",1)</f>
        <v>1</v>
      </c>
      <c r="B12" s="12" t="str">
        <f>IF(Lists!D2="","",Lists!D2)</f>
        <v>NCF</v>
      </c>
      <c r="C12" s="13" t="str">
        <f>IF(B12="","",IFERROR(INDEX('MD Register'!C$5:C$104,MATCH(B12,'MD Register'!B$5:B$104,0)),""))</f>
        <v>ESAP-BMP</v>
      </c>
      <c r="D12" s="13" t="str">
        <f>IF(B12="","",IFERROR(INDEX('MD Register'!D$5:D$104,MATCH(B12,'MD Register'!B$5:B$104,0)),""))</f>
        <v>LCCH SEC 1&amp;2</v>
      </c>
      <c r="E12" s="14">
        <f>IF(B12="","",SUMIF('MD Register'!$B$5:$B$104,TRIM(B12),'MD Register'!$F$5:$F$104))</f>
        <v>82934896</v>
      </c>
      <c r="F12" s="15">
        <f>IF(B12="","",SUMIF('MD Register'!$B$5:$B$104,TRIM(B12),'MD Register'!$V$5:$V$104))</f>
        <v>62264320.390000001</v>
      </c>
      <c r="G12" s="16">
        <f>IF(B12="","",SUMIF('MD Register'!$B$5:$B$104,TRIM(B12),'MD Register'!$AC$5:$AC$104))</f>
        <v>0</v>
      </c>
      <c r="H12" s="17">
        <f t="shared" ref="H12:H41" si="0">IF(B12="","",E12-F12-G12)</f>
        <v>20670575.609999999</v>
      </c>
      <c r="I12" s="18">
        <f t="shared" ref="I12:I41" si="1">IF(OR(B12="",E12=0),"-",F12/E12)</f>
        <v>0.75076142122370304</v>
      </c>
      <c r="J12" s="2"/>
      <c r="K12" s="2"/>
      <c r="L12" s="2"/>
      <c r="M12" s="2"/>
      <c r="N12" s="2"/>
      <c r="O12" s="1"/>
      <c r="P12" s="1"/>
      <c r="Q12" s="1"/>
      <c r="R12" s="1"/>
      <c r="S12" s="1"/>
      <c r="T12" s="1"/>
    </row>
    <row r="13" spans="1:20" ht="24" customHeight="1" x14ac:dyDescent="0.55000000000000004">
      <c r="A13" s="19">
        <f>IF(Lists!D3="","",2)</f>
        <v>2</v>
      </c>
      <c r="B13" s="20" t="str">
        <f>IF(Lists!D3="","",Lists!D3)</f>
        <v>DynaSmart</v>
      </c>
      <c r="C13" s="21" t="str">
        <f>IF(B13="","",IFERROR(INDEX('MD Register'!C$5:C$104,MATCH(B13,'MD Register'!B$5:B$104,0)),""))</f>
        <v>ESAP-SRAP</v>
      </c>
      <c r="D13" s="21" t="str">
        <f>IF(B13="","",IFERROR(INDEX('MD Register'!D$5:D$104,MATCH(B13,'MD Register'!B$5:B$104,0)),""))</f>
        <v>LCCH SEC 1</v>
      </c>
      <c r="E13" s="22">
        <f>IF(B13="","",SUMIF('MD Register'!$B$5:$B$104,TRIM(B13),'MD Register'!$F$5:$F$104))</f>
        <v>454196669.95999998</v>
      </c>
      <c r="F13" s="23">
        <f>IF(B13="","",SUMIF('MD Register'!$B$5:$B$104,TRIM(B13),'MD Register'!$V$5:$V$104))</f>
        <v>295098196.86000001</v>
      </c>
      <c r="G13" s="24">
        <f>IF(B13="","",SUMIF('MD Register'!$B$5:$B$104,TRIM(B13),'MD Register'!$AC$5:$AC$104))</f>
        <v>0</v>
      </c>
      <c r="H13" s="25">
        <f t="shared" si="0"/>
        <v>159098473.09999996</v>
      </c>
      <c r="I13" s="26">
        <f t="shared" si="1"/>
        <v>0.64971457603594629</v>
      </c>
      <c r="J13" s="2"/>
      <c r="K13" s="2"/>
      <c r="L13" s="2"/>
      <c r="M13" s="2"/>
      <c r="N13" s="2"/>
      <c r="O13" s="1"/>
      <c r="P13" s="1"/>
      <c r="Q13" s="1"/>
      <c r="R13" s="1"/>
      <c r="S13" s="1"/>
      <c r="T13" s="1"/>
    </row>
    <row r="14" spans="1:20" ht="24" customHeight="1" x14ac:dyDescent="0.55000000000000004">
      <c r="A14" s="11">
        <f>IF(Lists!D4="","",3)</f>
        <v>3</v>
      </c>
      <c r="B14" s="12" t="str">
        <f>IF(Lists!D4="","",Lists!D4)</f>
        <v>CEO Advisory</v>
      </c>
      <c r="C14" s="13" t="str">
        <f>IF(B14="","",IFERROR(INDEX('MD Register'!C$5:C$104,MATCH(B14,'MD Register'!B$5:B$104,0)),""))</f>
        <v>HRRA</v>
      </c>
      <c r="D14" s="13" t="str">
        <f>IF(B14="","",IFERROR(INDEX('MD Register'!D$5:D$104,MATCH(B14,'MD Register'!B$5:B$104,0)),""))</f>
        <v>LCCH SEC 1</v>
      </c>
      <c r="E14" s="14">
        <f>IF(B14="","",SUMIF('MD Register'!$B$5:$B$104,TRIM(B14),'MD Register'!$F$5:$F$104))</f>
        <v>10050000</v>
      </c>
      <c r="F14" s="15">
        <f>IF(B14="","",SUMIF('MD Register'!$B$5:$B$104,TRIM(B14),'MD Register'!$V$5:$V$104))</f>
        <v>6030000</v>
      </c>
      <c r="G14" s="16">
        <f>IF(B14="","",SUMIF('MD Register'!$B$5:$B$104,TRIM(B14),'MD Register'!$AC$5:$AC$104))</f>
        <v>0</v>
      </c>
      <c r="H14" s="17">
        <f t="shared" si="0"/>
        <v>4020000</v>
      </c>
      <c r="I14" s="18">
        <f t="shared" si="1"/>
        <v>0.6</v>
      </c>
      <c r="J14" s="2"/>
      <c r="K14" s="2"/>
      <c r="L14" s="2"/>
      <c r="M14" s="2"/>
      <c r="N14" s="2"/>
      <c r="O14" s="1"/>
      <c r="P14" s="1"/>
      <c r="Q14" s="1"/>
      <c r="R14" s="1"/>
      <c r="S14" s="1"/>
      <c r="T14" s="1"/>
    </row>
    <row r="15" spans="1:20" ht="24" customHeight="1" x14ac:dyDescent="0.55000000000000004">
      <c r="A15" s="19">
        <f>IF(Lists!D5="","",4)</f>
        <v>4</v>
      </c>
      <c r="B15" s="20" t="str">
        <f>IF(Lists!D5="","",Lists!D5)</f>
        <v>Eddie Perez Limited</v>
      </c>
      <c r="C15" s="21" t="str">
        <f>IF(B15="","",IFERROR(INDEX('MD Register'!C$5:C$104,MATCH(B15,'MD Register'!B$5:B$104,0)),""))</f>
        <v>OD SURVEY</v>
      </c>
      <c r="D15" s="21" t="str">
        <f>IF(B15="","",IFERROR(INDEX('MD Register'!D$5:D$104,MATCH(B15,'MD Register'!B$5:B$104,0)),""))</f>
        <v>LCCH SEC 1</v>
      </c>
      <c r="E15" s="22">
        <f>IF(B15="","",SUMIF('MD Register'!$B$5:$B$104,TRIM(B15),'MD Register'!$F$5:$F$104))</f>
        <v>130664100</v>
      </c>
      <c r="F15" s="23">
        <f>IF(B15="","",SUMIF('MD Register'!$B$5:$B$104,TRIM(B15),'MD Register'!$V$5:$V$104))</f>
        <v>109481532</v>
      </c>
      <c r="G15" s="24">
        <f>IF(B15="","",SUMIF('MD Register'!$B$5:$B$104,TRIM(B15),'MD Register'!$AC$5:$AC$104))</f>
        <v>0</v>
      </c>
      <c r="H15" s="25">
        <f t="shared" si="0"/>
        <v>21182568</v>
      </c>
      <c r="I15" s="26">
        <f t="shared" si="1"/>
        <v>0.83788532580869568</v>
      </c>
      <c r="J15" s="2"/>
      <c r="K15" s="2"/>
      <c r="L15" s="2"/>
      <c r="M15" s="2"/>
      <c r="N15" s="2"/>
      <c r="O15" s="1"/>
      <c r="P15" s="1"/>
      <c r="Q15" s="1"/>
      <c r="R15" s="1"/>
      <c r="S15" s="1"/>
      <c r="T15" s="1"/>
    </row>
    <row r="16" spans="1:20" ht="24" customHeight="1" x14ac:dyDescent="0.55000000000000004">
      <c r="A16" s="11">
        <f>IF(Lists!D6="","",5)</f>
        <v>5</v>
      </c>
      <c r="B16" s="12" t="str">
        <f>IF(Lists!D6="","",Lists!D6)</f>
        <v>David Omaghomi</v>
      </c>
      <c r="C16" s="13" t="str">
        <f>IF(B16="","",IFERROR(INDEX('MD Register'!C$5:C$104,MATCH(B16,'MD Register'!B$5:B$104,0)),""))</f>
        <v>CRM</v>
      </c>
      <c r="D16" s="13" t="str">
        <f>IF(B16="","",IFERROR(INDEX('MD Register'!D$5:D$104,MATCH(B16,'MD Register'!B$5:B$104,0)),""))</f>
        <v>LCCH SEC 1&amp;2</v>
      </c>
      <c r="E16" s="14">
        <f>IF(B16="","",SUMIF('MD Register'!$B$5:$B$104,TRIM(B16),'MD Register'!$F$5:$F$104))</f>
        <v>29964000</v>
      </c>
      <c r="F16" s="15">
        <f>IF(B16="","",SUMIF('MD Register'!$B$5:$B$104,TRIM(B16),'MD Register'!$V$5:$V$104))</f>
        <v>19964000</v>
      </c>
      <c r="G16" s="16">
        <f>IF(B16="","",SUMIF('MD Register'!$B$5:$B$104,TRIM(B16),'MD Register'!$AC$5:$AC$104))</f>
        <v>10000000</v>
      </c>
      <c r="H16" s="17">
        <f t="shared" si="0"/>
        <v>0</v>
      </c>
      <c r="I16" s="18">
        <f t="shared" si="1"/>
        <v>0.66626618608997468</v>
      </c>
      <c r="J16" s="2"/>
      <c r="K16" s="2"/>
      <c r="L16" s="2"/>
      <c r="M16" s="2"/>
      <c r="N16" s="2"/>
      <c r="O16" s="1"/>
      <c r="P16" s="1"/>
      <c r="Q16" s="1"/>
      <c r="R16" s="1"/>
      <c r="S16" s="1"/>
      <c r="T16" s="1"/>
    </row>
    <row r="17" spans="1:20" ht="24" customHeight="1" x14ac:dyDescent="0.55000000000000004">
      <c r="A17" s="19">
        <f>IF(Lists!D7="","",6)</f>
        <v>6</v>
      </c>
      <c r="B17" s="20" t="str">
        <f>IF(Lists!D7="","",Lists!D7)</f>
        <v>Ndoni Logistic</v>
      </c>
      <c r="C17" s="21" t="str">
        <f>IF(B17="","",IFERROR(INDEX('MD Register'!C$5:C$104,MATCH(B17,'MD Register'!B$5:B$104,0)),""))</f>
        <v>CRM</v>
      </c>
      <c r="D17" s="21" t="str">
        <f>IF(B17="","",IFERROR(INDEX('MD Register'!D$5:D$104,MATCH(B17,'MD Register'!B$5:B$104,0)),""))</f>
        <v>LCCH SEC 1&amp;2</v>
      </c>
      <c r="E17" s="22">
        <f>IF(B17="","",SUMIF('MD Register'!$B$5:$B$104,TRIM(B17),'MD Register'!$F$5:$F$104))</f>
        <v>3100000</v>
      </c>
      <c r="F17" s="23">
        <f>IF(B17="","",SUMIF('MD Register'!$B$5:$B$104,TRIM(B17),'MD Register'!$V$5:$V$104))</f>
        <v>3100000</v>
      </c>
      <c r="G17" s="24">
        <f>IF(B17="","",SUMIF('MD Register'!$B$5:$B$104,TRIM(B17),'MD Register'!$AC$5:$AC$104))</f>
        <v>0</v>
      </c>
      <c r="H17" s="25">
        <f t="shared" si="0"/>
        <v>0</v>
      </c>
      <c r="I17" s="26">
        <f t="shared" si="1"/>
        <v>1</v>
      </c>
      <c r="J17" s="2"/>
      <c r="K17" s="2"/>
      <c r="L17" s="2"/>
      <c r="M17" s="2"/>
      <c r="N17" s="2"/>
      <c r="O17" s="1"/>
      <c r="P17" s="1"/>
      <c r="Q17" s="1"/>
      <c r="R17" s="1"/>
      <c r="S17" s="1"/>
      <c r="T17" s="1"/>
    </row>
    <row r="18" spans="1:20" ht="24" customHeight="1" x14ac:dyDescent="0.55000000000000004">
      <c r="A18" s="11">
        <f>IF(Lists!D8="","",7)</f>
        <v>7</v>
      </c>
      <c r="B18" s="12" t="str">
        <f>IF(Lists!D8="","",Lists!D8)</f>
        <v>Hitech-CRM</v>
      </c>
      <c r="C18" s="13" t="str">
        <f>IF(B18="","",IFERROR(INDEX('MD Register'!C$5:C$104,MATCH(B18,'MD Register'!B$5:B$104,0)),""))</f>
        <v>ESAP SEC 1</v>
      </c>
      <c r="D18" s="13" t="str">
        <f>IF(B18="","",IFERROR(INDEX('MD Register'!D$5:D$104,MATCH(B18,'MD Register'!B$5:B$104,0)),""))</f>
        <v>LCCH SEC 1</v>
      </c>
      <c r="E18" s="14">
        <f>IF(B18="","",SUMIF('MD Register'!$B$5:$B$104,TRIM(B18),'MD Register'!$F$5:$F$104))</f>
        <v>3964400</v>
      </c>
      <c r="F18" s="15">
        <f>IF(B18="","",SUMIF('MD Register'!$B$5:$B$104,TRIM(B18),'MD Register'!$V$5:$V$104))</f>
        <v>3964400</v>
      </c>
      <c r="G18" s="16">
        <f>IF(B18="","",SUMIF('MD Register'!$B$5:$B$104,TRIM(B18),'MD Register'!$AC$5:$AC$104))</f>
        <v>0</v>
      </c>
      <c r="H18" s="17">
        <f t="shared" si="0"/>
        <v>0</v>
      </c>
      <c r="I18" s="18">
        <f t="shared" si="1"/>
        <v>1</v>
      </c>
      <c r="J18" s="2"/>
      <c r="K18" s="2"/>
      <c r="L18" s="2"/>
      <c r="M18" s="2"/>
      <c r="N18" s="2"/>
      <c r="O18" s="1"/>
      <c r="P18" s="1"/>
      <c r="Q18" s="1"/>
      <c r="R18" s="1"/>
      <c r="S18" s="1"/>
      <c r="T18" s="1"/>
    </row>
    <row r="19" spans="1:20" ht="24" customHeight="1" x14ac:dyDescent="0.55000000000000004">
      <c r="A19" s="19">
        <f>IF(Lists!D9="","",8)</f>
        <v>8</v>
      </c>
      <c r="B19" s="20" t="str">
        <f>IF(Lists!D9="","",Lists!D9)</f>
        <v>Beachtv Media Limited</v>
      </c>
      <c r="C19" s="21" t="str">
        <f>IF(B19="","",IFERROR(INDEX('MD Register'!C$5:C$104,MATCH(B19,'MD Register'!B$5:B$104,0)),""))</f>
        <v>CSR</v>
      </c>
      <c r="D19" s="21" t="str">
        <f>IF(B19="","",IFERROR(INDEX('MD Register'!D$5:D$104,MATCH(B19,'MD Register'!B$5:B$104,0)),""))</f>
        <v>LCCH SEC 1</v>
      </c>
      <c r="E19" s="22">
        <f>IF(B19="","",SUMIF('MD Register'!$B$5:$B$104,TRIM(B19),'MD Register'!$F$5:$F$104))</f>
        <v>370000</v>
      </c>
      <c r="F19" s="23">
        <f>IF(B19="","",SUMIF('MD Register'!$B$5:$B$104,TRIM(B19),'MD Register'!$V$5:$V$104))</f>
        <v>120000</v>
      </c>
      <c r="G19" s="24">
        <f>IF(B19="","",SUMIF('MD Register'!$B$5:$B$104,TRIM(B19),'MD Register'!$AC$5:$AC$104))</f>
        <v>250000</v>
      </c>
      <c r="H19" s="25">
        <f t="shared" si="0"/>
        <v>0</v>
      </c>
      <c r="I19" s="26">
        <f t="shared" si="1"/>
        <v>0.32432432432432434</v>
      </c>
      <c r="J19" s="2"/>
      <c r="K19" s="2"/>
      <c r="L19" s="2"/>
      <c r="M19" s="2"/>
      <c r="N19" s="2"/>
      <c r="O19" s="1"/>
      <c r="P19" s="1"/>
      <c r="Q19" s="1"/>
      <c r="R19" s="1"/>
      <c r="S19" s="1"/>
      <c r="T19" s="1"/>
    </row>
    <row r="20" spans="1:20" ht="24" customHeight="1" x14ac:dyDescent="0.55000000000000004">
      <c r="A20" s="11">
        <f>IF(Lists!D10="","",9)</f>
        <v>9</v>
      </c>
      <c r="B20" s="12" t="str">
        <f>IF(Lists!D10="","",Lists!D10)</f>
        <v>G&amp;B PRINTING PRESS AND BUSINESS CENTER</v>
      </c>
      <c r="C20" s="13" t="str">
        <f>IF(B20="","",IFERROR(INDEX('MD Register'!C$5:C$104,MATCH(B20,'MD Register'!B$5:B$104,0)),""))</f>
        <v>CRM</v>
      </c>
      <c r="D20" s="13" t="str">
        <f>IF(B20="","",IFERROR(INDEX('MD Register'!D$5:D$104,MATCH(B20,'MD Register'!B$5:B$104,0)),""))</f>
        <v>LCCH SEC 1&amp;2</v>
      </c>
      <c r="E20" s="14">
        <f>IF(B20="","",SUMIF('MD Register'!$B$5:$B$104,TRIM(B20),'MD Register'!$F$5:$F$104))</f>
        <v>1514500</v>
      </c>
      <c r="F20" s="15">
        <f>IF(B20="","",SUMIF('MD Register'!$B$5:$B$104,TRIM(B20),'MD Register'!$V$5:$V$104))</f>
        <v>0</v>
      </c>
      <c r="G20" s="16">
        <f>IF(B20="","",SUMIF('MD Register'!$B$5:$B$104,TRIM(B20),'MD Register'!$AC$5:$AC$104))</f>
        <v>1514500</v>
      </c>
      <c r="H20" s="17">
        <f t="shared" si="0"/>
        <v>0</v>
      </c>
      <c r="I20" s="18">
        <f t="shared" si="1"/>
        <v>0</v>
      </c>
      <c r="J20" s="2"/>
      <c r="K20" s="2"/>
      <c r="L20" s="2"/>
      <c r="M20" s="2"/>
      <c r="N20" s="2"/>
      <c r="O20" s="1"/>
      <c r="P20" s="1"/>
      <c r="Q20" s="1"/>
      <c r="R20" s="1"/>
      <c r="S20" s="1"/>
      <c r="T20" s="1"/>
    </row>
    <row r="21" spans="1:20" ht="24" customHeight="1" x14ac:dyDescent="0.55000000000000004">
      <c r="A21" s="19">
        <f>IF(Lists!D11="","",10)</f>
        <v>10</v>
      </c>
      <c r="B21" s="20" t="str">
        <f>IF(Lists!D11="","",Lists!D11)</f>
        <v>Lifeline Option Enterprises</v>
      </c>
      <c r="C21" s="21" t="str">
        <f>IF(B21="","",IFERROR(INDEX('MD Register'!C$5:C$104,MATCH(B21,'MD Register'!B$5:B$104,0)),""))</f>
        <v>CSR</v>
      </c>
      <c r="D21" s="21" t="str">
        <f>IF(B21="","",IFERROR(INDEX('MD Register'!D$5:D$104,MATCH(B21,'MD Register'!B$5:B$104,0)),""))</f>
        <v>LCCH SEC 1&amp;2</v>
      </c>
      <c r="E21" s="22">
        <f>IF(B21="","",SUMIF('MD Register'!$B$5:$B$104,TRIM(B21),'MD Register'!$F$5:$F$104))</f>
        <v>1000000</v>
      </c>
      <c r="F21" s="23">
        <f>IF(B21="","",SUMIF('MD Register'!$B$5:$B$104,TRIM(B21),'MD Register'!$V$5:$V$104))</f>
        <v>790000</v>
      </c>
      <c r="G21" s="24">
        <f>IF(B21="","",SUMIF('MD Register'!$B$5:$B$104,TRIM(B21),'MD Register'!$AC$5:$AC$104))</f>
        <v>210000</v>
      </c>
      <c r="H21" s="25">
        <f t="shared" si="0"/>
        <v>0</v>
      </c>
      <c r="I21" s="26">
        <f t="shared" si="1"/>
        <v>0.79</v>
      </c>
      <c r="J21" s="2"/>
      <c r="K21" s="2"/>
      <c r="L21" s="2"/>
      <c r="M21" s="2"/>
      <c r="N21" s="2"/>
      <c r="O21" s="1"/>
      <c r="P21" s="1"/>
      <c r="Q21" s="1"/>
      <c r="R21" s="1"/>
      <c r="S21" s="1"/>
      <c r="T21" s="1"/>
    </row>
    <row r="22" spans="1:20" ht="24" customHeight="1" x14ac:dyDescent="0.55000000000000004">
      <c r="A22" s="11">
        <f>IF(Lists!D12="","",11)</f>
        <v>11</v>
      </c>
      <c r="B22" s="12" t="str">
        <f>IF(Lists!D12="","",Lists!D12)</f>
        <v>CRM Office and SRAP Team</v>
      </c>
      <c r="C22" s="13" t="str">
        <f>IF(B22="","",IFERROR(INDEX('MD Register'!C$5:C$104,MATCH(B22,'MD Register'!B$5:B$104,0)),""))</f>
        <v>ESAP SEC 1</v>
      </c>
      <c r="D22" s="13" t="str">
        <f>IF(B22="","",IFERROR(INDEX('MD Register'!D$5:D$104,MATCH(B22,'MD Register'!B$5:B$104,0)),""))</f>
        <v>LCCH SEC 1</v>
      </c>
      <c r="E22" s="14">
        <f>IF(B22="","",SUMIF('MD Register'!$B$5:$B$104,TRIM(B22),'MD Register'!$F$5:$F$104))</f>
        <v>872000</v>
      </c>
      <c r="F22" s="15">
        <f>IF(B22="","",SUMIF('MD Register'!$B$5:$B$104,TRIM(B22),'MD Register'!$V$5:$V$104))</f>
        <v>0</v>
      </c>
      <c r="G22" s="16">
        <f>IF(B22="","",SUMIF('MD Register'!$B$5:$B$104,TRIM(B22),'MD Register'!$AC$5:$AC$104))</f>
        <v>872000</v>
      </c>
      <c r="H22" s="17">
        <f t="shared" si="0"/>
        <v>0</v>
      </c>
      <c r="I22" s="18">
        <f t="shared" si="1"/>
        <v>0</v>
      </c>
      <c r="J22" s="2"/>
      <c r="K22" s="2"/>
      <c r="L22" s="2"/>
      <c r="M22" s="2"/>
      <c r="N22" s="2"/>
      <c r="O22" s="1"/>
      <c r="P22" s="1"/>
      <c r="Q22" s="1"/>
      <c r="R22" s="1"/>
      <c r="S22" s="1"/>
      <c r="T22" s="1"/>
    </row>
    <row r="23" spans="1:20" ht="24" customHeight="1" x14ac:dyDescent="0.55000000000000004">
      <c r="A23" s="19">
        <f>IF(Lists!D13="","",12)</f>
        <v>12</v>
      </c>
      <c r="B23" s="20" t="str">
        <f>IF(Lists!D13="","",Lists!D13)</f>
        <v>EcoConserv</v>
      </c>
      <c r="C23" s="21" t="str">
        <f>IF(B23="","",IFERROR(INDEX('MD Register'!C$5:C$104,MATCH(B23,'MD Register'!B$5:B$104,0)),""))</f>
        <v>ESAP SEC 1</v>
      </c>
      <c r="D23" s="21" t="str">
        <f>IF(B23="","",IFERROR(INDEX('MD Register'!D$5:D$104,MATCH(B23,'MD Register'!B$5:B$104,0)),""))</f>
        <v>LCCH SEC 1</v>
      </c>
      <c r="E23" s="22">
        <f>IF(B23="","",SUMIF('MD Register'!$B$5:$B$104,TRIM(B23),'MD Register'!$F$5:$F$104))</f>
        <v>24612600</v>
      </c>
      <c r="F23" s="23">
        <f>IF(B23="","",SUMIF('MD Register'!$B$5:$B$104,TRIM(B23),'MD Register'!$V$5:$V$104))</f>
        <v>7383780</v>
      </c>
      <c r="G23" s="24">
        <f>IF(B23="","",SUMIF('MD Register'!$B$5:$B$104,TRIM(B23),'MD Register'!$AC$5:$AC$104))</f>
        <v>9379015</v>
      </c>
      <c r="H23" s="25">
        <f t="shared" si="0"/>
        <v>7849805</v>
      </c>
      <c r="I23" s="26">
        <f t="shared" si="1"/>
        <v>0.3</v>
      </c>
      <c r="J23" s="2"/>
      <c r="K23" s="2"/>
      <c r="L23" s="2"/>
      <c r="M23" s="2"/>
      <c r="N23" s="2"/>
      <c r="O23" s="1"/>
      <c r="P23" s="1"/>
      <c r="Q23" s="1"/>
      <c r="R23" s="1"/>
      <c r="S23" s="1"/>
      <c r="T23" s="1"/>
    </row>
    <row r="24" spans="1:20" ht="24" customHeight="1" x14ac:dyDescent="0.55000000000000004">
      <c r="A24" s="11">
        <f>IF(Lists!D14="","",13)</f>
        <v>13</v>
      </c>
      <c r="B24" s="12" t="str">
        <f>IF(Lists!D14="","",Lists!D14)</f>
        <v>Hitech CRM</v>
      </c>
      <c r="C24" s="13" t="str">
        <f>IF(B24="","",IFERROR(INDEX('MD Register'!C$5:C$104,MATCH(B24,'MD Register'!B$5:B$104,0)),""))</f>
        <v/>
      </c>
      <c r="D24" s="13" t="str">
        <f>IF(B24="","",IFERROR(INDEX('MD Register'!D$5:D$104,MATCH(B24,'MD Register'!B$5:B$104,0)),""))</f>
        <v/>
      </c>
      <c r="E24" s="14">
        <f>IF(B24="","",SUMIF('MD Register'!$B$5:$B$104,TRIM(B24),'MD Register'!$F$5:$F$104))</f>
        <v>0</v>
      </c>
      <c r="F24" s="15">
        <f>IF(B24="","",SUMIF('MD Register'!$B$5:$B$104,TRIM(B24),'MD Register'!$V$5:$V$104))</f>
        <v>0</v>
      </c>
      <c r="G24" s="16">
        <f>IF(B24="","",SUMIF('MD Register'!$B$5:$B$104,TRIM(B24),'MD Register'!$AC$5:$AC$104))</f>
        <v>0</v>
      </c>
      <c r="H24" s="17">
        <f t="shared" si="0"/>
        <v>0</v>
      </c>
      <c r="I24" s="18" t="str">
        <f t="shared" si="1"/>
        <v>-</v>
      </c>
      <c r="J24" s="2"/>
      <c r="K24" s="2"/>
      <c r="L24" s="2"/>
      <c r="M24" s="2"/>
      <c r="N24" s="2"/>
      <c r="O24" s="1"/>
      <c r="P24" s="1"/>
      <c r="Q24" s="1"/>
      <c r="R24" s="1"/>
      <c r="S24" s="1"/>
      <c r="T24" s="1"/>
    </row>
    <row r="25" spans="1:20" ht="24" customHeight="1" x14ac:dyDescent="0.55000000000000004">
      <c r="A25" s="19">
        <f>IF(Lists!D15="","",14)</f>
        <v>14</v>
      </c>
      <c r="B25" s="20" t="str">
        <f>IF(Lists!D15="","",Lists!D15)</f>
        <v>Asili</v>
      </c>
      <c r="C25" s="21" t="str">
        <f>IF(B25="","",IFERROR(INDEX('MD Register'!C$5:C$104,MATCH(B25,'MD Register'!B$5:B$104,0)),""))</f>
        <v/>
      </c>
      <c r="D25" s="21" t="str">
        <f>IF(B25="","",IFERROR(INDEX('MD Register'!D$5:D$104,MATCH(B25,'MD Register'!B$5:B$104,0)),""))</f>
        <v/>
      </c>
      <c r="E25" s="22">
        <f>IF(B25="","",SUMIF('MD Register'!$B$5:$B$104,TRIM(B25),'MD Register'!$F$5:$F$104))</f>
        <v>0</v>
      </c>
      <c r="F25" s="23">
        <f>IF(B25="","",SUMIF('MD Register'!$B$5:$B$104,TRIM(B25),'MD Register'!$V$5:$V$104))</f>
        <v>0</v>
      </c>
      <c r="G25" s="24">
        <f>IF(B25="","",SUMIF('MD Register'!$B$5:$B$104,TRIM(B25),'MD Register'!$AC$5:$AC$104))</f>
        <v>0</v>
      </c>
      <c r="H25" s="25">
        <f t="shared" si="0"/>
        <v>0</v>
      </c>
      <c r="I25" s="26" t="str">
        <f t="shared" si="1"/>
        <v>-</v>
      </c>
      <c r="J25" s="2"/>
      <c r="K25" s="2"/>
      <c r="L25" s="2"/>
      <c r="M25" s="2"/>
      <c r="N25" s="2"/>
      <c r="O25" s="1"/>
      <c r="P25" s="1"/>
      <c r="Q25" s="1"/>
      <c r="R25" s="1"/>
      <c r="S25" s="1"/>
      <c r="T25" s="1"/>
    </row>
    <row r="26" spans="1:20" ht="24" customHeight="1" x14ac:dyDescent="0.55000000000000004">
      <c r="A26" s="11">
        <f>IF(Lists!D16="","",15)</f>
        <v>15</v>
      </c>
      <c r="B26" s="12" t="str">
        <f>IF(Lists!D16="","",Lists!D16)</f>
        <v>Other</v>
      </c>
      <c r="C26" s="13" t="str">
        <f>IF(B26="","",IFERROR(INDEX('MD Register'!C$5:C$104,MATCH(B26,'MD Register'!B$5:B$104,0)),""))</f>
        <v/>
      </c>
      <c r="D26" s="13" t="str">
        <f>IF(B26="","",IFERROR(INDEX('MD Register'!D$5:D$104,MATCH(B26,'MD Register'!B$5:B$104,0)),""))</f>
        <v/>
      </c>
      <c r="E26" s="14">
        <f>IF(B26="","",SUMIF('MD Register'!$B$5:$B$104,TRIM(B26),'MD Register'!$F$5:$F$104))</f>
        <v>0</v>
      </c>
      <c r="F26" s="15">
        <f>IF(B26="","",SUMIF('MD Register'!$B$5:$B$104,TRIM(B26),'MD Register'!$V$5:$V$104))</f>
        <v>0</v>
      </c>
      <c r="G26" s="16">
        <f>IF(B26="","",SUMIF('MD Register'!$B$5:$B$104,TRIM(B26),'MD Register'!$AC$5:$AC$104))</f>
        <v>0</v>
      </c>
      <c r="H26" s="17">
        <f t="shared" si="0"/>
        <v>0</v>
      </c>
      <c r="I26" s="18" t="str">
        <f t="shared" si="1"/>
        <v>-</v>
      </c>
      <c r="J26" s="2"/>
      <c r="K26" s="2"/>
      <c r="L26" s="2"/>
      <c r="M26" s="2"/>
      <c r="N26" s="2"/>
      <c r="O26" s="1"/>
      <c r="P26" s="1"/>
      <c r="Q26" s="1"/>
      <c r="R26" s="1"/>
      <c r="S26" s="1"/>
      <c r="T26" s="1"/>
    </row>
    <row r="27" spans="1:20" ht="24" customHeight="1" x14ac:dyDescent="0.55000000000000004">
      <c r="A27" s="19" t="str">
        <f>IF(Lists!D17="","",16)</f>
        <v/>
      </c>
      <c r="B27" s="20" t="str">
        <f>IF(Lists!D17="","",Lists!D17)</f>
        <v/>
      </c>
      <c r="C27" s="21" t="str">
        <f>IF(B27="","",IFERROR(INDEX('MD Register'!C$5:C$104,MATCH(B27,'MD Register'!B$5:B$104,0)),""))</f>
        <v/>
      </c>
      <c r="D27" s="21" t="str">
        <f>IF(B27="","",IFERROR(INDEX('MD Register'!D$5:D$104,MATCH(B27,'MD Register'!B$5:B$104,0)),""))</f>
        <v/>
      </c>
      <c r="E27" s="22" t="str">
        <f>IF(B27="","",SUMIF('MD Register'!$B$5:$B$104,TRIM(B27),'MD Register'!$F$5:$F$104))</f>
        <v/>
      </c>
      <c r="F27" s="23" t="str">
        <f>IF(B27="","",SUMIF('MD Register'!$B$5:$B$104,TRIM(B27),'MD Register'!$V$5:$V$104))</f>
        <v/>
      </c>
      <c r="G27" s="24" t="str">
        <f>IF(B27="","",SUMIF('MD Register'!$B$5:$B$104,TRIM(B27),'MD Register'!$AC$5:$AC$104))</f>
        <v/>
      </c>
      <c r="H27" s="25" t="str">
        <f t="shared" si="0"/>
        <v/>
      </c>
      <c r="I27" s="26" t="str">
        <f t="shared" si="1"/>
        <v>-</v>
      </c>
      <c r="J27" s="2"/>
      <c r="K27" s="2"/>
      <c r="L27" s="2"/>
      <c r="M27" s="2"/>
      <c r="N27" s="2"/>
      <c r="O27" s="1"/>
      <c r="P27" s="1"/>
      <c r="Q27" s="1"/>
      <c r="R27" s="1"/>
      <c r="S27" s="1"/>
      <c r="T27" s="1"/>
    </row>
    <row r="28" spans="1:20" ht="24" customHeight="1" x14ac:dyDescent="0.55000000000000004">
      <c r="A28" s="11" t="str">
        <f>IF(Lists!D18="","",17)</f>
        <v/>
      </c>
      <c r="B28" s="12" t="str">
        <f>IF(Lists!D18="","",Lists!D18)</f>
        <v/>
      </c>
      <c r="C28" s="13" t="str">
        <f>IF(B28="","",IFERROR(INDEX('MD Register'!C$5:C$104,MATCH(B28,'MD Register'!B$5:B$104,0)),""))</f>
        <v/>
      </c>
      <c r="D28" s="13" t="str">
        <f>IF(B28="","",IFERROR(INDEX('MD Register'!D$5:D$104,MATCH(B28,'MD Register'!B$5:B$104,0)),""))</f>
        <v/>
      </c>
      <c r="E28" s="14" t="str">
        <f>IF(B28="","",SUMIF('MD Register'!$B$5:$B$104,TRIM(B28),'MD Register'!$F$5:$F$104))</f>
        <v/>
      </c>
      <c r="F28" s="15" t="str">
        <f>IF(B28="","",SUMIF('MD Register'!$B$5:$B$104,TRIM(B28),'MD Register'!$V$5:$V$104))</f>
        <v/>
      </c>
      <c r="G28" s="16" t="str">
        <f>IF(B28="","",SUMIF('MD Register'!$B$5:$B$104,TRIM(B28),'MD Register'!$AC$5:$AC$104))</f>
        <v/>
      </c>
      <c r="H28" s="17" t="str">
        <f t="shared" si="0"/>
        <v/>
      </c>
      <c r="I28" s="18" t="str">
        <f t="shared" si="1"/>
        <v>-</v>
      </c>
      <c r="J28" s="2"/>
      <c r="K28" s="2"/>
      <c r="L28" s="2"/>
      <c r="M28" s="2"/>
      <c r="N28" s="2"/>
      <c r="O28" s="1"/>
      <c r="P28" s="1"/>
      <c r="Q28" s="1"/>
      <c r="R28" s="1"/>
      <c r="S28" s="1"/>
      <c r="T28" s="1"/>
    </row>
    <row r="29" spans="1:20" ht="24" customHeight="1" x14ac:dyDescent="0.55000000000000004">
      <c r="A29" s="19" t="str">
        <f>IF(Lists!D19="","",18)</f>
        <v/>
      </c>
      <c r="B29" s="20" t="str">
        <f>IF(Lists!D19="","",Lists!D19)</f>
        <v/>
      </c>
      <c r="C29" s="21" t="str">
        <f>IF(B29="","",IFERROR(INDEX('MD Register'!C$5:C$104,MATCH(B29,'MD Register'!B$5:B$104,0)),""))</f>
        <v/>
      </c>
      <c r="D29" s="21" t="str">
        <f>IF(B29="","",IFERROR(INDEX('MD Register'!D$5:D$104,MATCH(B29,'MD Register'!B$5:B$104,0)),""))</f>
        <v/>
      </c>
      <c r="E29" s="22" t="str">
        <f>IF(B29="","",SUMIF('MD Register'!$B$5:$B$104,TRIM(B29),'MD Register'!$F$5:$F$104))</f>
        <v/>
      </c>
      <c r="F29" s="23" t="str">
        <f>IF(B29="","",SUMIF('MD Register'!$B$5:$B$104,TRIM(B29),'MD Register'!$V$5:$V$104))</f>
        <v/>
      </c>
      <c r="G29" s="24" t="str">
        <f>IF(B29="","",SUMIF('MD Register'!$B$5:$B$104,TRIM(B29),'MD Register'!$AC$5:$AC$104))</f>
        <v/>
      </c>
      <c r="H29" s="25" t="str">
        <f t="shared" si="0"/>
        <v/>
      </c>
      <c r="I29" s="26" t="str">
        <f t="shared" si="1"/>
        <v>-</v>
      </c>
      <c r="J29" s="2"/>
      <c r="K29" s="2"/>
      <c r="L29" s="2"/>
      <c r="M29" s="2"/>
      <c r="N29" s="2"/>
      <c r="O29" s="1"/>
      <c r="P29" s="1"/>
      <c r="Q29" s="1"/>
      <c r="R29" s="1"/>
      <c r="S29" s="1"/>
      <c r="T29" s="1"/>
    </row>
    <row r="30" spans="1:20" ht="24" customHeight="1" x14ac:dyDescent="0.55000000000000004">
      <c r="A30" s="11" t="str">
        <f>IF(Lists!D20="","",19)</f>
        <v/>
      </c>
      <c r="B30" s="12" t="str">
        <f>IF(Lists!D20="","",Lists!D20)</f>
        <v/>
      </c>
      <c r="C30" s="13" t="str">
        <f>IF(B30="","",IFERROR(INDEX('MD Register'!C$5:C$104,MATCH(B30,'MD Register'!B$5:B$104,0)),""))</f>
        <v/>
      </c>
      <c r="D30" s="13" t="str">
        <f>IF(B30="","",IFERROR(INDEX('MD Register'!D$5:D$104,MATCH(B30,'MD Register'!B$5:B$104,0)),""))</f>
        <v/>
      </c>
      <c r="E30" s="14" t="str">
        <f>IF(B30="","",SUMIF('MD Register'!$B$5:$B$104,TRIM(B30),'MD Register'!$F$5:$F$104))</f>
        <v/>
      </c>
      <c r="F30" s="15" t="str">
        <f>IF(B30="","",SUMIF('MD Register'!$B$5:$B$104,TRIM(B30),'MD Register'!$V$5:$V$104))</f>
        <v/>
      </c>
      <c r="G30" s="16" t="str">
        <f>IF(B30="","",SUMIF('MD Register'!$B$5:$B$104,TRIM(B30),'MD Register'!$AC$5:$AC$104))</f>
        <v/>
      </c>
      <c r="H30" s="17" t="str">
        <f t="shared" si="0"/>
        <v/>
      </c>
      <c r="I30" s="18" t="str">
        <f t="shared" si="1"/>
        <v>-</v>
      </c>
      <c r="J30" s="2"/>
      <c r="K30" s="2"/>
      <c r="L30" s="2"/>
      <c r="M30" s="2"/>
      <c r="N30" s="2"/>
      <c r="O30" s="1"/>
      <c r="P30" s="1"/>
      <c r="Q30" s="1"/>
      <c r="R30" s="1"/>
      <c r="S30" s="1"/>
      <c r="T30" s="1"/>
    </row>
    <row r="31" spans="1:20" ht="24" customHeight="1" x14ac:dyDescent="0.55000000000000004">
      <c r="A31" s="19" t="str">
        <f>IF(Lists!D21="","",20)</f>
        <v/>
      </c>
      <c r="B31" s="20" t="str">
        <f>IF(Lists!D21="","",Lists!D21)</f>
        <v/>
      </c>
      <c r="C31" s="21" t="str">
        <f>IF(B31="","",IFERROR(INDEX('MD Register'!C$5:C$104,MATCH(B31,'MD Register'!B$5:B$104,0)),""))</f>
        <v/>
      </c>
      <c r="D31" s="21" t="str">
        <f>IF(B31="","",IFERROR(INDEX('MD Register'!D$5:D$104,MATCH(B31,'MD Register'!B$5:B$104,0)),""))</f>
        <v/>
      </c>
      <c r="E31" s="22" t="str">
        <f>IF(B31="","",SUMIF('MD Register'!$B$5:$B$104,TRIM(B31),'MD Register'!$F$5:$F$104))</f>
        <v/>
      </c>
      <c r="F31" s="23" t="str">
        <f>IF(B31="","",SUMIF('MD Register'!$B$5:$B$104,TRIM(B31),'MD Register'!$V$5:$V$104))</f>
        <v/>
      </c>
      <c r="G31" s="24" t="str">
        <f>IF(B31="","",SUMIF('MD Register'!$B$5:$B$104,TRIM(B31),'MD Register'!$AC$5:$AC$104))</f>
        <v/>
      </c>
      <c r="H31" s="25" t="str">
        <f t="shared" si="0"/>
        <v/>
      </c>
      <c r="I31" s="26" t="str">
        <f t="shared" si="1"/>
        <v>-</v>
      </c>
      <c r="J31" s="2"/>
      <c r="K31" s="2"/>
      <c r="L31" s="2"/>
      <c r="M31" s="2"/>
      <c r="N31" s="2"/>
      <c r="O31" s="1"/>
      <c r="P31" s="1"/>
      <c r="Q31" s="1"/>
      <c r="R31" s="1"/>
      <c r="S31" s="1"/>
      <c r="T31" s="1"/>
    </row>
    <row r="32" spans="1:20" ht="24" customHeight="1" x14ac:dyDescent="0.55000000000000004">
      <c r="A32" s="11" t="str">
        <f>IF(Lists!D22="","",21)</f>
        <v/>
      </c>
      <c r="B32" s="12" t="str">
        <f>IF(Lists!D22="","",Lists!D22)</f>
        <v/>
      </c>
      <c r="C32" s="13" t="str">
        <f>IF(B32="","",IFERROR(INDEX('MD Register'!C$5:C$104,MATCH(B32,'MD Register'!B$5:B$104,0)),""))</f>
        <v/>
      </c>
      <c r="D32" s="13" t="str">
        <f>IF(B32="","",IFERROR(INDEX('MD Register'!D$5:D$104,MATCH(B32,'MD Register'!B$5:B$104,0)),""))</f>
        <v/>
      </c>
      <c r="E32" s="14" t="str">
        <f>IF(B32="","",SUMIF('MD Register'!$B$5:$B$104,TRIM(B32),'MD Register'!$F$5:$F$104))</f>
        <v/>
      </c>
      <c r="F32" s="15" t="str">
        <f>IF(B32="","",SUMIF('MD Register'!$B$5:$B$104,TRIM(B32),'MD Register'!$V$5:$V$104))</f>
        <v/>
      </c>
      <c r="G32" s="16" t="str">
        <f>IF(B32="","",SUMIF('MD Register'!$B$5:$B$104,TRIM(B32),'MD Register'!$AC$5:$AC$104))</f>
        <v/>
      </c>
      <c r="H32" s="17" t="str">
        <f t="shared" si="0"/>
        <v/>
      </c>
      <c r="I32" s="18" t="str">
        <f t="shared" si="1"/>
        <v>-</v>
      </c>
      <c r="J32" s="2"/>
      <c r="K32" s="2"/>
      <c r="L32" s="2"/>
      <c r="M32" s="2"/>
      <c r="N32" s="2"/>
      <c r="O32" s="1"/>
      <c r="P32" s="1"/>
      <c r="Q32" s="1"/>
      <c r="R32" s="1"/>
      <c r="S32" s="1"/>
      <c r="T32" s="1"/>
    </row>
    <row r="33" spans="1:20" ht="24" customHeight="1" x14ac:dyDescent="0.55000000000000004">
      <c r="A33" s="19" t="str">
        <f>IF(Lists!D23="","",22)</f>
        <v/>
      </c>
      <c r="B33" s="20" t="str">
        <f>IF(Lists!D23="","",Lists!D23)</f>
        <v/>
      </c>
      <c r="C33" s="21" t="str">
        <f>IF(B33="","",IFERROR(INDEX('MD Register'!C$5:C$104,MATCH(B33,'MD Register'!B$5:B$104,0)),""))</f>
        <v/>
      </c>
      <c r="D33" s="21" t="str">
        <f>IF(B33="","",IFERROR(INDEX('MD Register'!D$5:D$104,MATCH(B33,'MD Register'!B$5:B$104,0)),""))</f>
        <v/>
      </c>
      <c r="E33" s="22" t="str">
        <f>IF(B33="","",SUMIF('MD Register'!$B$5:$B$104,TRIM(B33),'MD Register'!$F$5:$F$104))</f>
        <v/>
      </c>
      <c r="F33" s="23" t="str">
        <f>IF(B33="","",SUMIF('MD Register'!$B$5:$B$104,TRIM(B33),'MD Register'!$V$5:$V$104))</f>
        <v/>
      </c>
      <c r="G33" s="24" t="str">
        <f>IF(B33="","",SUMIF('MD Register'!$B$5:$B$104,TRIM(B33),'MD Register'!$AC$5:$AC$104))</f>
        <v/>
      </c>
      <c r="H33" s="25" t="str">
        <f t="shared" si="0"/>
        <v/>
      </c>
      <c r="I33" s="26" t="str">
        <f t="shared" si="1"/>
        <v>-</v>
      </c>
      <c r="J33" s="2"/>
      <c r="K33" s="2"/>
      <c r="L33" s="2"/>
      <c r="M33" s="2"/>
      <c r="N33" s="2"/>
      <c r="O33" s="1"/>
      <c r="P33" s="1"/>
      <c r="Q33" s="1"/>
      <c r="R33" s="1"/>
      <c r="S33" s="1"/>
      <c r="T33" s="1"/>
    </row>
    <row r="34" spans="1:20" ht="24" customHeight="1" x14ac:dyDescent="0.55000000000000004">
      <c r="A34" s="11" t="str">
        <f>IF(Lists!D24="","",23)</f>
        <v/>
      </c>
      <c r="B34" s="12" t="str">
        <f>IF(Lists!D24="","",Lists!D24)</f>
        <v/>
      </c>
      <c r="C34" s="13" t="str">
        <f>IF(B34="","",IFERROR(INDEX('MD Register'!C$5:C$104,MATCH(B34,'MD Register'!B$5:B$104,0)),""))</f>
        <v/>
      </c>
      <c r="D34" s="13" t="str">
        <f>IF(B34="","",IFERROR(INDEX('MD Register'!D$5:D$104,MATCH(B34,'MD Register'!B$5:B$104,0)),""))</f>
        <v/>
      </c>
      <c r="E34" s="14" t="str">
        <f>IF(B34="","",SUMIF('MD Register'!$B$5:$B$104,TRIM(B34),'MD Register'!$F$5:$F$104))</f>
        <v/>
      </c>
      <c r="F34" s="15" t="str">
        <f>IF(B34="","",SUMIF('MD Register'!$B$5:$B$104,TRIM(B34),'MD Register'!$V$5:$V$104))</f>
        <v/>
      </c>
      <c r="G34" s="16" t="str">
        <f>IF(B34="","",SUMIF('MD Register'!$B$5:$B$104,TRIM(B34),'MD Register'!$AC$5:$AC$104))</f>
        <v/>
      </c>
      <c r="H34" s="17" t="str">
        <f t="shared" si="0"/>
        <v/>
      </c>
      <c r="I34" s="18" t="str">
        <f t="shared" si="1"/>
        <v>-</v>
      </c>
      <c r="J34" s="2"/>
      <c r="K34" s="2"/>
      <c r="L34" s="2"/>
      <c r="M34" s="2"/>
      <c r="N34" s="2"/>
      <c r="O34" s="1"/>
      <c r="P34" s="1"/>
      <c r="Q34" s="1"/>
      <c r="R34" s="1"/>
      <c r="S34" s="1"/>
      <c r="T34" s="1"/>
    </row>
    <row r="35" spans="1:20" ht="24" customHeight="1" x14ac:dyDescent="0.55000000000000004">
      <c r="A35" s="19" t="str">
        <f>IF(Lists!D25="","",24)</f>
        <v/>
      </c>
      <c r="B35" s="20" t="str">
        <f>IF(Lists!D25="","",Lists!D25)</f>
        <v/>
      </c>
      <c r="C35" s="21" t="str">
        <f>IF(B35="","",IFERROR(INDEX('MD Register'!C$5:C$104,MATCH(B35,'MD Register'!B$5:B$104,0)),""))</f>
        <v/>
      </c>
      <c r="D35" s="21" t="str">
        <f>IF(B35="","",IFERROR(INDEX('MD Register'!D$5:D$104,MATCH(B35,'MD Register'!B$5:B$104,0)),""))</f>
        <v/>
      </c>
      <c r="E35" s="22" t="str">
        <f>IF(B35="","",SUMIF('MD Register'!$B$5:$B$104,TRIM(B35),'MD Register'!$F$5:$F$104))</f>
        <v/>
      </c>
      <c r="F35" s="23" t="str">
        <f>IF(B35="","",SUMIF('MD Register'!$B$5:$B$104,TRIM(B35),'MD Register'!$V$5:$V$104))</f>
        <v/>
      </c>
      <c r="G35" s="24" t="str">
        <f>IF(B35="","",SUMIF('MD Register'!$B$5:$B$104,TRIM(B35),'MD Register'!$AC$5:$AC$104))</f>
        <v/>
      </c>
      <c r="H35" s="25" t="str">
        <f t="shared" si="0"/>
        <v/>
      </c>
      <c r="I35" s="26" t="str">
        <f t="shared" si="1"/>
        <v>-</v>
      </c>
      <c r="J35" s="2"/>
      <c r="K35" s="2"/>
      <c r="L35" s="2"/>
      <c r="M35" s="2"/>
      <c r="N35" s="2"/>
      <c r="O35" s="1"/>
      <c r="P35" s="1"/>
      <c r="Q35" s="1"/>
      <c r="R35" s="1"/>
      <c r="S35" s="1"/>
      <c r="T35" s="1"/>
    </row>
    <row r="36" spans="1:20" ht="24" customHeight="1" x14ac:dyDescent="0.55000000000000004">
      <c r="A36" s="11" t="str">
        <f>IF(Lists!D26="","",25)</f>
        <v/>
      </c>
      <c r="B36" s="12" t="str">
        <f>IF(Lists!D26="","",Lists!D26)</f>
        <v/>
      </c>
      <c r="C36" s="13" t="str">
        <f>IF(B36="","",IFERROR(INDEX('MD Register'!C$5:C$104,MATCH(B36,'MD Register'!B$5:B$104,0)),""))</f>
        <v/>
      </c>
      <c r="D36" s="13" t="str">
        <f>IF(B36="","",IFERROR(INDEX('MD Register'!D$5:D$104,MATCH(B36,'MD Register'!B$5:B$104,0)),""))</f>
        <v/>
      </c>
      <c r="E36" s="14" t="str">
        <f>IF(B36="","",SUMIF('MD Register'!$B$5:$B$104,TRIM(B36),'MD Register'!$F$5:$F$104))</f>
        <v/>
      </c>
      <c r="F36" s="15" t="str">
        <f>IF(B36="","",SUMIF('MD Register'!$B$5:$B$104,TRIM(B36),'MD Register'!$V$5:$V$104))</f>
        <v/>
      </c>
      <c r="G36" s="16" t="str">
        <f>IF(B36="","",SUMIF('MD Register'!$B$5:$B$104,TRIM(B36),'MD Register'!$AC$5:$AC$104))</f>
        <v/>
      </c>
      <c r="H36" s="17" t="str">
        <f t="shared" si="0"/>
        <v/>
      </c>
      <c r="I36" s="18" t="str">
        <f t="shared" si="1"/>
        <v>-</v>
      </c>
      <c r="J36" s="2"/>
      <c r="K36" s="2"/>
      <c r="L36" s="2"/>
      <c r="M36" s="2"/>
      <c r="N36" s="2"/>
      <c r="O36" s="1"/>
      <c r="P36" s="1"/>
      <c r="Q36" s="1"/>
      <c r="R36" s="1"/>
      <c r="S36" s="1"/>
      <c r="T36" s="1"/>
    </row>
    <row r="37" spans="1:20" ht="24" customHeight="1" x14ac:dyDescent="0.55000000000000004">
      <c r="A37" s="19" t="str">
        <f>IF(Lists!D27="","",26)</f>
        <v/>
      </c>
      <c r="B37" s="20" t="str">
        <f>IF(Lists!D27="","",Lists!D27)</f>
        <v/>
      </c>
      <c r="C37" s="21" t="str">
        <f>IF(B37="","",IFERROR(INDEX('MD Register'!C$5:C$104,MATCH(B37,'MD Register'!B$5:B$104,0)),""))</f>
        <v/>
      </c>
      <c r="D37" s="21" t="str">
        <f>IF(B37="","",IFERROR(INDEX('MD Register'!D$5:D$104,MATCH(B37,'MD Register'!B$5:B$104,0)),""))</f>
        <v/>
      </c>
      <c r="E37" s="22" t="str">
        <f>IF(B37="","",SUMIF('MD Register'!$B$5:$B$104,TRIM(B37),'MD Register'!$F$5:$F$104))</f>
        <v/>
      </c>
      <c r="F37" s="23" t="str">
        <f>IF(B37="","",SUMIF('MD Register'!$B$5:$B$104,TRIM(B37),'MD Register'!$V$5:$V$104))</f>
        <v/>
      </c>
      <c r="G37" s="24" t="str">
        <f>IF(B37="","",SUMIF('MD Register'!$B$5:$B$104,TRIM(B37),'MD Register'!$AC$5:$AC$104))</f>
        <v/>
      </c>
      <c r="H37" s="25" t="str">
        <f t="shared" si="0"/>
        <v/>
      </c>
      <c r="I37" s="26" t="str">
        <f t="shared" si="1"/>
        <v>-</v>
      </c>
      <c r="J37" s="2"/>
      <c r="K37" s="2"/>
      <c r="L37" s="2"/>
      <c r="M37" s="2"/>
      <c r="N37" s="2"/>
      <c r="O37" s="1"/>
      <c r="P37" s="1"/>
      <c r="Q37" s="1"/>
      <c r="R37" s="1"/>
      <c r="S37" s="1"/>
      <c r="T37" s="1"/>
    </row>
    <row r="38" spans="1:20" ht="24" customHeight="1" x14ac:dyDescent="0.55000000000000004">
      <c r="A38" s="11" t="str">
        <f>IF(Lists!D28="","",27)</f>
        <v/>
      </c>
      <c r="B38" s="12" t="str">
        <f>IF(Lists!D28="","",Lists!D28)</f>
        <v/>
      </c>
      <c r="C38" s="13" t="str">
        <f>IF(B38="","",IFERROR(INDEX('MD Register'!C$5:C$104,MATCH(B38,'MD Register'!B$5:B$104,0)),""))</f>
        <v/>
      </c>
      <c r="D38" s="13" t="str">
        <f>IF(B38="","",IFERROR(INDEX('MD Register'!D$5:D$104,MATCH(B38,'MD Register'!B$5:B$104,0)),""))</f>
        <v/>
      </c>
      <c r="E38" s="14" t="str">
        <f>IF(B38="","",SUMIF('MD Register'!$B$5:$B$104,TRIM(B38),'MD Register'!$F$5:$F$104))</f>
        <v/>
      </c>
      <c r="F38" s="15" t="str">
        <f>IF(B38="","",SUMIF('MD Register'!$B$5:$B$104,TRIM(B38),'MD Register'!$V$5:$V$104))</f>
        <v/>
      </c>
      <c r="G38" s="16" t="str">
        <f>IF(B38="","",SUMIF('MD Register'!$B$5:$B$104,TRIM(B38),'MD Register'!$AC$5:$AC$104))</f>
        <v/>
      </c>
      <c r="H38" s="17" t="str">
        <f t="shared" si="0"/>
        <v/>
      </c>
      <c r="I38" s="18" t="str">
        <f t="shared" si="1"/>
        <v>-</v>
      </c>
      <c r="J38" s="2"/>
      <c r="K38" s="2"/>
      <c r="L38" s="2"/>
      <c r="M38" s="2"/>
      <c r="N38" s="2"/>
      <c r="O38" s="1"/>
      <c r="P38" s="1"/>
      <c r="Q38" s="1"/>
      <c r="R38" s="1"/>
      <c r="S38" s="1"/>
      <c r="T38" s="1"/>
    </row>
    <row r="39" spans="1:20" ht="24" customHeight="1" x14ac:dyDescent="0.55000000000000004">
      <c r="A39" s="19" t="str">
        <f>IF(Lists!D29="","",28)</f>
        <v/>
      </c>
      <c r="B39" s="20" t="str">
        <f>IF(Lists!D29="","",Lists!D29)</f>
        <v/>
      </c>
      <c r="C39" s="21" t="str">
        <f>IF(B39="","",IFERROR(INDEX('MD Register'!C$5:C$104,MATCH(B39,'MD Register'!B$5:B$104,0)),""))</f>
        <v/>
      </c>
      <c r="D39" s="21" t="str">
        <f>IF(B39="","",IFERROR(INDEX('MD Register'!D$5:D$104,MATCH(B39,'MD Register'!B$5:B$104,0)),""))</f>
        <v/>
      </c>
      <c r="E39" s="22" t="str">
        <f>IF(B39="","",SUMIF('MD Register'!$B$5:$B$104,TRIM(B39),'MD Register'!$F$5:$F$104))</f>
        <v/>
      </c>
      <c r="F39" s="23" t="str">
        <f>IF(B39="","",SUMIF('MD Register'!$B$5:$B$104,TRIM(B39),'MD Register'!$V$5:$V$104))</f>
        <v/>
      </c>
      <c r="G39" s="24" t="str">
        <f>IF(B39="","",SUMIF('MD Register'!$B$5:$B$104,TRIM(B39),'MD Register'!$AC$5:$AC$104))</f>
        <v/>
      </c>
      <c r="H39" s="25" t="str">
        <f t="shared" si="0"/>
        <v/>
      </c>
      <c r="I39" s="26" t="str">
        <f t="shared" si="1"/>
        <v>-</v>
      </c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</row>
    <row r="40" spans="1:20" ht="24" customHeight="1" x14ac:dyDescent="0.55000000000000004">
      <c r="A40" s="11" t="str">
        <f>IF(Lists!D30="","",29)</f>
        <v/>
      </c>
      <c r="B40" s="12" t="str">
        <f>IF(Lists!D30="","",Lists!D30)</f>
        <v/>
      </c>
      <c r="C40" s="13" t="str">
        <f>IF(B40="","",IFERROR(INDEX('MD Register'!C$5:C$104,MATCH(B40,'MD Register'!B$5:B$104,0)),""))</f>
        <v/>
      </c>
      <c r="D40" s="13" t="str">
        <f>IF(B40="","",IFERROR(INDEX('MD Register'!D$5:D$104,MATCH(B40,'MD Register'!B$5:B$104,0)),""))</f>
        <v/>
      </c>
      <c r="E40" s="14" t="str">
        <f>IF(B40="","",SUMIF('MD Register'!$B$5:$B$104,TRIM(B40),'MD Register'!$F$5:$F$104))</f>
        <v/>
      </c>
      <c r="F40" s="15" t="str">
        <f>IF(B40="","",SUMIF('MD Register'!$B$5:$B$104,TRIM(B40),'MD Register'!$V$5:$V$104))</f>
        <v/>
      </c>
      <c r="G40" s="16" t="str">
        <f>IF(B40="","",SUMIF('MD Register'!$B$5:$B$104,TRIM(B40),'MD Register'!$AC$5:$AC$104))</f>
        <v/>
      </c>
      <c r="H40" s="17" t="str">
        <f t="shared" si="0"/>
        <v/>
      </c>
      <c r="I40" s="18" t="str">
        <f t="shared" si="1"/>
        <v>-</v>
      </c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</row>
    <row r="41" spans="1:20" ht="24" customHeight="1" x14ac:dyDescent="0.55000000000000004">
      <c r="A41" s="19" t="str">
        <f>IF(Lists!D31="","",30)</f>
        <v/>
      </c>
      <c r="B41" s="20" t="str">
        <f>IF(Lists!D31="","",Lists!D31)</f>
        <v/>
      </c>
      <c r="C41" s="21" t="str">
        <f>IF(B41="","",IFERROR(INDEX('MD Register'!C$5:C$104,MATCH(B41,'MD Register'!B$5:B$104,0)),""))</f>
        <v/>
      </c>
      <c r="D41" s="21" t="str">
        <f>IF(B41="","",IFERROR(INDEX('MD Register'!D$5:D$104,MATCH(B41,'MD Register'!B$5:B$104,0)),""))</f>
        <v/>
      </c>
      <c r="E41" s="22" t="str">
        <f>IF(B41="","",SUMIF('MD Register'!$B$5:$B$104,TRIM(B41),'MD Register'!$F$5:$F$104))</f>
        <v/>
      </c>
      <c r="F41" s="23" t="str">
        <f>IF(B41="","",SUMIF('MD Register'!$B$5:$B$104,TRIM(B41),'MD Register'!$V$5:$V$104))</f>
        <v/>
      </c>
      <c r="G41" s="24" t="str">
        <f>IF(B41="","",SUMIF('MD Register'!$B$5:$B$104,TRIM(B41),'MD Register'!$AC$5:$AC$104))</f>
        <v/>
      </c>
      <c r="H41" s="25" t="str">
        <f t="shared" si="0"/>
        <v/>
      </c>
      <c r="I41" s="26" t="str">
        <f t="shared" si="1"/>
        <v>-</v>
      </c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</row>
    <row r="42" spans="1:20" ht="30" customHeight="1" x14ac:dyDescent="0.45">
      <c r="A42" s="148" t="s">
        <v>18</v>
      </c>
      <c r="B42" s="149"/>
      <c r="C42" s="149"/>
      <c r="D42" s="149"/>
      <c r="E42" s="27">
        <f>SUM(E12:E41)</f>
        <v>743243165.96000004</v>
      </c>
      <c r="F42" s="27">
        <f>SUM(F12:F41)</f>
        <v>508196229.25</v>
      </c>
      <c r="G42" s="27">
        <f>SUM(G12:G41)</f>
        <v>22225515</v>
      </c>
      <c r="H42" s="27">
        <f>SUM(H12:H41)</f>
        <v>212821421.70999998</v>
      </c>
      <c r="I42" s="28">
        <f>IF(E42=0,0,F42/E42)</f>
        <v>0.68375499772486326</v>
      </c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</row>
    <row r="43" spans="1:20" ht="12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</row>
    <row r="44" spans="1:20" ht="31.5" customHeight="1" x14ac:dyDescent="0.45">
      <c r="A44" s="158" t="s">
        <v>19</v>
      </c>
      <c r="B44" s="140"/>
      <c r="C44" s="140"/>
      <c r="D44" s="140"/>
      <c r="E44" s="140"/>
      <c r="F44" s="140"/>
      <c r="G44" s="140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</row>
    <row r="45" spans="1:20" ht="25.5" customHeight="1" x14ac:dyDescent="0.45">
      <c r="A45" s="29" t="s">
        <v>9</v>
      </c>
      <c r="B45" s="30" t="s">
        <v>12</v>
      </c>
      <c r="C45" s="29" t="s">
        <v>20</v>
      </c>
      <c r="D45" s="31" t="s">
        <v>13</v>
      </c>
      <c r="E45" s="31" t="s">
        <v>14</v>
      </c>
      <c r="F45" s="31" t="s">
        <v>15</v>
      </c>
      <c r="G45" s="29" t="s">
        <v>17</v>
      </c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</row>
    <row r="46" spans="1:20" ht="24" customHeight="1" x14ac:dyDescent="0.55000000000000004">
      <c r="A46" s="11">
        <v>1</v>
      </c>
      <c r="B46" s="12" t="s">
        <v>21</v>
      </c>
      <c r="C46" s="32">
        <f>COUNTIF('MD Register'!D$5:D$104,B46)</f>
        <v>9</v>
      </c>
      <c r="D46" s="14">
        <f>SUMIF('MD Register'!D$5:D$104,B46,'MD Register'!F$5:F$104)</f>
        <v>559886669.96000004</v>
      </c>
      <c r="E46" s="15">
        <f>SUMIF('MD Register'!D$5:D$104,B46,'MD Register'!V$5:V$104)</f>
        <v>364060076.86000001</v>
      </c>
      <c r="F46" s="16">
        <f>SUMIF('MD Register'!D$5:D$104,B46,'MD Register'!AC$5:AC$104)</f>
        <v>19479015</v>
      </c>
      <c r="G46" s="33">
        <f t="shared" ref="G46:G54" si="2">IF(D46=0,"-",E46/D46)</f>
        <v>0.65023887224535915</v>
      </c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</row>
    <row r="47" spans="1:20" ht="24" customHeight="1" x14ac:dyDescent="0.55000000000000004">
      <c r="A47" s="19">
        <v>2</v>
      </c>
      <c r="B47" s="20" t="s">
        <v>22</v>
      </c>
      <c r="C47" s="34">
        <f>COUNTIF('MD Register'!D$5:D$104,B47)</f>
        <v>20</v>
      </c>
      <c r="D47" s="22">
        <f>SUMIF('MD Register'!D$5:D$104,B47,'MD Register'!F$5:F$104)</f>
        <v>192584496</v>
      </c>
      <c r="E47" s="23">
        <f>SUMIF('MD Register'!D$5:D$104,B47,'MD Register'!V$5:V$104)</f>
        <v>144136152.38999999</v>
      </c>
      <c r="F47" s="24">
        <f>SUMIF('MD Register'!D$5:D$104,B47,'MD Register'!AC$5:AC$104)</f>
        <v>11974500</v>
      </c>
      <c r="G47" s="35">
        <f t="shared" si="2"/>
        <v>0.74843071682156592</v>
      </c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</row>
    <row r="48" spans="1:20" ht="24" customHeight="1" x14ac:dyDescent="0.55000000000000004">
      <c r="A48" s="11">
        <v>3</v>
      </c>
      <c r="B48" s="12" t="s">
        <v>23</v>
      </c>
      <c r="C48" s="32">
        <f>COUNTIF('MD Register'!D$5:D$104,B48)</f>
        <v>0</v>
      </c>
      <c r="D48" s="14">
        <f>SUMIF('MD Register'!D$5:D$104,B48,'MD Register'!F$5:F$104)</f>
        <v>0</v>
      </c>
      <c r="E48" s="15">
        <f>SUMIF('MD Register'!D$5:D$104,B48,'MD Register'!V$5:V$104)</f>
        <v>0</v>
      </c>
      <c r="F48" s="16">
        <f>SUMIF('MD Register'!D$5:D$104,B48,'MD Register'!AC$5:AC$104)</f>
        <v>0</v>
      </c>
      <c r="G48" s="33" t="str">
        <f t="shared" si="2"/>
        <v>-</v>
      </c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</row>
    <row r="49" spans="1:20" ht="24" customHeight="1" x14ac:dyDescent="0.55000000000000004">
      <c r="A49" s="19">
        <v>4</v>
      </c>
      <c r="B49" s="20" t="s">
        <v>24</v>
      </c>
      <c r="C49" s="34">
        <f>COUNTIF('MD Register'!D$5:D$104,B49)</f>
        <v>0</v>
      </c>
      <c r="D49" s="22">
        <f>SUMIF('MD Register'!D$5:D$104,B49,'MD Register'!F$5:F$104)</f>
        <v>0</v>
      </c>
      <c r="E49" s="23">
        <f>SUMIF('MD Register'!D$5:D$104,B49,'MD Register'!V$5:V$104)</f>
        <v>0</v>
      </c>
      <c r="F49" s="24">
        <f>SUMIF('MD Register'!D$5:D$104,B49,'MD Register'!AC$5:AC$104)</f>
        <v>0</v>
      </c>
      <c r="G49" s="35" t="str">
        <f t="shared" si="2"/>
        <v>-</v>
      </c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</row>
    <row r="50" spans="1:20" ht="24" customHeight="1" x14ac:dyDescent="0.55000000000000004">
      <c r="A50" s="11">
        <v>5</v>
      </c>
      <c r="B50" s="12" t="s">
        <v>25</v>
      </c>
      <c r="C50" s="32">
        <f>COUNTIF('MD Register'!D$5:D$104,B50)</f>
        <v>0</v>
      </c>
      <c r="D50" s="14">
        <f>SUMIF('MD Register'!D$5:D$104,B50,'MD Register'!F$5:F$104)</f>
        <v>0</v>
      </c>
      <c r="E50" s="15">
        <f>SUMIF('MD Register'!D$5:D$104,B50,'MD Register'!V$5:V$104)</f>
        <v>0</v>
      </c>
      <c r="F50" s="16">
        <f>SUMIF('MD Register'!D$5:D$104,B50,'MD Register'!AC$5:AC$104)</f>
        <v>0</v>
      </c>
      <c r="G50" s="33" t="str">
        <f t="shared" si="2"/>
        <v>-</v>
      </c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</row>
    <row r="51" spans="1:20" ht="24" customHeight="1" x14ac:dyDescent="0.55000000000000004">
      <c r="A51" s="19">
        <v>6</v>
      </c>
      <c r="B51" s="20" t="s">
        <v>26</v>
      </c>
      <c r="C51" s="34">
        <f>COUNTIF('MD Register'!D$5:D$104,B51)</f>
        <v>0</v>
      </c>
      <c r="D51" s="22">
        <f>SUMIF('MD Register'!D$5:D$104,B51,'MD Register'!F$5:F$104)</f>
        <v>0</v>
      </c>
      <c r="E51" s="23">
        <f>SUMIF('MD Register'!D$5:D$104,B51,'MD Register'!V$5:V$104)</f>
        <v>0</v>
      </c>
      <c r="F51" s="24">
        <f>SUMIF('MD Register'!D$5:D$104,B51,'MD Register'!AC$5:AC$104)</f>
        <v>0</v>
      </c>
      <c r="G51" s="35" t="str">
        <f t="shared" si="2"/>
        <v>-</v>
      </c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</row>
    <row r="52" spans="1:20" ht="24" customHeight="1" x14ac:dyDescent="0.55000000000000004">
      <c r="A52" s="11">
        <v>7</v>
      </c>
      <c r="B52" s="12" t="s">
        <v>27</v>
      </c>
      <c r="C52" s="32">
        <f>COUNTIF('MD Register'!D$5:D$104,B52)</f>
        <v>0</v>
      </c>
      <c r="D52" s="14">
        <f>SUMIF('MD Register'!D$5:D$104,B52,'MD Register'!F$5:F$104)</f>
        <v>0</v>
      </c>
      <c r="E52" s="15">
        <f>SUMIF('MD Register'!D$5:D$104,B52,'MD Register'!V$5:V$104)</f>
        <v>0</v>
      </c>
      <c r="F52" s="16">
        <f>SUMIF('MD Register'!D$5:D$104,B52,'MD Register'!AC$5:AC$104)</f>
        <v>0</v>
      </c>
      <c r="G52" s="33" t="str">
        <f t="shared" si="2"/>
        <v>-</v>
      </c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</row>
    <row r="53" spans="1:20" ht="24" customHeight="1" x14ac:dyDescent="0.55000000000000004">
      <c r="A53" s="19">
        <v>8</v>
      </c>
      <c r="B53" s="20" t="s">
        <v>28</v>
      </c>
      <c r="C53" s="34">
        <f>COUNTIF('MD Register'!D$5:D$104,B53)</f>
        <v>0</v>
      </c>
      <c r="D53" s="22">
        <f>SUMIF('MD Register'!D$5:D$104,B53,'MD Register'!F$5:F$104)</f>
        <v>0</v>
      </c>
      <c r="E53" s="23">
        <f>SUMIF('MD Register'!D$5:D$104,B53,'MD Register'!V$5:V$104)</f>
        <v>0</v>
      </c>
      <c r="F53" s="24">
        <f>SUMIF('MD Register'!D$5:D$104,B53,'MD Register'!AC$5:AC$104)</f>
        <v>0</v>
      </c>
      <c r="G53" s="35" t="str">
        <f t="shared" si="2"/>
        <v>-</v>
      </c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</row>
    <row r="54" spans="1:20" ht="24" customHeight="1" x14ac:dyDescent="0.55000000000000004">
      <c r="A54" s="11">
        <v>9</v>
      </c>
      <c r="B54" s="12" t="s">
        <v>29</v>
      </c>
      <c r="C54" s="32">
        <f>COUNTIF('MD Register'!D$5:D$104,B54)</f>
        <v>0</v>
      </c>
      <c r="D54" s="14">
        <f>SUMIF('MD Register'!D$5:D$104,B54,'MD Register'!F$5:F$104)</f>
        <v>0</v>
      </c>
      <c r="E54" s="15">
        <f>SUMIF('MD Register'!D$5:D$104,B54,'MD Register'!V$5:V$104)</f>
        <v>0</v>
      </c>
      <c r="F54" s="16">
        <f>SUMIF('MD Register'!D$5:D$104,B54,'MD Register'!AC$5:AC$104)</f>
        <v>0</v>
      </c>
      <c r="G54" s="33" t="str">
        <f t="shared" si="2"/>
        <v>-</v>
      </c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</row>
    <row r="55" spans="1:20" ht="12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</row>
    <row r="56" spans="1:20" ht="21.75" customHeight="1" x14ac:dyDescent="0.45">
      <c r="A56" s="139" t="s">
        <v>30</v>
      </c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"/>
      <c r="P56" s="1"/>
      <c r="Q56" s="1"/>
      <c r="R56" s="1"/>
      <c r="S56" s="1"/>
      <c r="T56" s="1"/>
    </row>
    <row r="57" spans="1:20" ht="1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 t="s">
        <v>31</v>
      </c>
      <c r="M57" s="36">
        <f>C5</f>
        <v>508196229.25</v>
      </c>
      <c r="N57" s="2"/>
      <c r="O57" s="1"/>
      <c r="P57" s="1"/>
      <c r="Q57" s="1"/>
      <c r="R57" s="1"/>
      <c r="S57" s="1"/>
      <c r="T57" s="1"/>
    </row>
    <row r="58" spans="1:20" ht="1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 t="s">
        <v>32</v>
      </c>
      <c r="M58" s="36">
        <f>E5</f>
        <v>31453515</v>
      </c>
      <c r="N58" s="2"/>
      <c r="O58" s="1"/>
      <c r="P58" s="1"/>
      <c r="Q58" s="1"/>
      <c r="R58" s="1"/>
      <c r="S58" s="1"/>
      <c r="T58" s="1"/>
    </row>
    <row r="59" spans="1:20" ht="1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 t="s">
        <v>33</v>
      </c>
      <c r="M59" s="36">
        <f>G5</f>
        <v>212821421.71000004</v>
      </c>
      <c r="N59" s="2"/>
      <c r="O59" s="1"/>
      <c r="P59" s="1"/>
      <c r="Q59" s="1"/>
      <c r="R59" s="1"/>
      <c r="S59" s="1"/>
      <c r="T59" s="1"/>
    </row>
    <row r="60" spans="1:20" ht="1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</row>
    <row r="61" spans="1:20" ht="1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</row>
    <row r="62" spans="1:20" ht="1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</row>
    <row r="63" spans="1:20" ht="1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</row>
    <row r="64" spans="1:20" ht="1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</row>
    <row r="65" spans="1:20" ht="1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</row>
    <row r="66" spans="1:20" ht="1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</row>
    <row r="67" spans="1:20" ht="1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</row>
    <row r="68" spans="1:20" ht="1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</row>
    <row r="69" spans="1:20" ht="1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</row>
    <row r="70" spans="1:20" ht="1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</row>
    <row r="71" spans="1:20" ht="1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</row>
    <row r="72" spans="1:20" ht="1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</row>
    <row r="73" spans="1:20" ht="1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</row>
    <row r="74" spans="1:20" ht="1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</row>
    <row r="75" spans="1:20" ht="1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16" ht="15" customHeight="1" x14ac:dyDescent="0.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8" t="str">
        <f t="shared" ref="M81:M86" si="3">IF(B35="","",B35)</f>
        <v/>
      </c>
      <c r="N81" s="38">
        <f t="shared" ref="N81:N86" si="4">IF(B35="",0,F35)</f>
        <v>0</v>
      </c>
      <c r="O81" s="38">
        <f t="shared" ref="O81:O86" si="5">IF(B35="",0,G35)</f>
        <v>0</v>
      </c>
      <c r="P81" s="38">
        <f t="shared" ref="P81:P86" si="6">IF(B35="",0,H35)</f>
        <v>0</v>
      </c>
    </row>
    <row r="82" spans="1:16" ht="15" customHeight="1" x14ac:dyDescent="0.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8" t="str">
        <f t="shared" si="3"/>
        <v/>
      </c>
      <c r="N82" s="39">
        <f t="shared" si="4"/>
        <v>0</v>
      </c>
      <c r="O82" s="39">
        <f t="shared" si="5"/>
        <v>0</v>
      </c>
      <c r="P82" s="38">
        <f t="shared" si="6"/>
        <v>0</v>
      </c>
    </row>
    <row r="83" spans="1:16" ht="15" customHeight="1" x14ac:dyDescent="0.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8" t="str">
        <f t="shared" si="3"/>
        <v/>
      </c>
      <c r="N83" s="38">
        <f t="shared" si="4"/>
        <v>0</v>
      </c>
      <c r="O83" s="38">
        <f t="shared" si="5"/>
        <v>0</v>
      </c>
      <c r="P83" s="38">
        <f t="shared" si="6"/>
        <v>0</v>
      </c>
    </row>
    <row r="84" spans="1:16" ht="15" customHeight="1" x14ac:dyDescent="0.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8" t="str">
        <f t="shared" si="3"/>
        <v/>
      </c>
      <c r="N84" s="38">
        <f t="shared" si="4"/>
        <v>0</v>
      </c>
      <c r="O84" s="38">
        <f t="shared" si="5"/>
        <v>0</v>
      </c>
      <c r="P84" s="38">
        <f t="shared" si="6"/>
        <v>0</v>
      </c>
    </row>
    <row r="85" spans="1:16" ht="15" customHeight="1" x14ac:dyDescent="0.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8" t="str">
        <f t="shared" si="3"/>
        <v/>
      </c>
      <c r="N85" s="38">
        <f t="shared" si="4"/>
        <v>0</v>
      </c>
      <c r="O85" s="38">
        <f t="shared" si="5"/>
        <v>0</v>
      </c>
      <c r="P85" s="38">
        <f t="shared" si="6"/>
        <v>0</v>
      </c>
    </row>
    <row r="86" spans="1:16" ht="15" customHeight="1" x14ac:dyDescent="0.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8" t="str">
        <f t="shared" si="3"/>
        <v/>
      </c>
      <c r="N86" s="38">
        <f t="shared" si="4"/>
        <v>0</v>
      </c>
      <c r="O86" s="38">
        <f t="shared" si="5"/>
        <v>0</v>
      </c>
      <c r="P86" s="38">
        <f t="shared" si="6"/>
        <v>0</v>
      </c>
    </row>
    <row r="87" spans="1:16" ht="15" customHeight="1" x14ac:dyDescent="0.4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</row>
    <row r="88" spans="1:16" ht="15" customHeight="1" x14ac:dyDescent="0.4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</row>
    <row r="89" spans="1:16" ht="15" customHeight="1" x14ac:dyDescent="0.4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</row>
  </sheetData>
  <mergeCells count="17">
    <mergeCell ref="A1:N1"/>
    <mergeCell ref="A44:G44"/>
    <mergeCell ref="A56:N56"/>
    <mergeCell ref="A10:I10"/>
    <mergeCell ref="A2:N2"/>
    <mergeCell ref="C5:D5"/>
    <mergeCell ref="A5:B5"/>
    <mergeCell ref="G5:H5"/>
    <mergeCell ref="E5:F5"/>
    <mergeCell ref="C4:D4"/>
    <mergeCell ref="I5:J5"/>
    <mergeCell ref="A42:D42"/>
    <mergeCell ref="A4:B4"/>
    <mergeCell ref="G4:H4"/>
    <mergeCell ref="E4:F4"/>
    <mergeCell ref="A8:N8"/>
    <mergeCell ref="I4:J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B981"/>
  </sheetPr>
  <dimension ref="A1:AC105"/>
  <sheetViews>
    <sheetView zoomScaleNormal="100" workbookViewId="0">
      <pane ySplit="4" topLeftCell="A5" activePane="bottomLeft" state="frozen"/>
      <selection pane="bottomLeft" activeCell="F12" sqref="F12"/>
    </sheetView>
  </sheetViews>
  <sheetFormatPr baseColWidth="10" defaultColWidth="8.73046875" defaultRowHeight="14.25" outlineLevelCol="1" x14ac:dyDescent="0.45"/>
  <cols>
    <col min="1" max="1" width="4" customWidth="1"/>
    <col min="2" max="2" width="26" style="40" customWidth="1"/>
    <col min="3" max="3" width="16" style="40" customWidth="1"/>
    <col min="4" max="4" width="14" style="40" customWidth="1"/>
    <col min="5" max="5" width="73" style="40" customWidth="1"/>
    <col min="6" max="6" width="18" customWidth="1"/>
    <col min="7" max="7" width="14" customWidth="1"/>
    <col min="8" max="8" width="12" customWidth="1"/>
    <col min="9" max="9" width="18" customWidth="1" outlineLevel="1"/>
    <col min="10" max="10" width="14" customWidth="1"/>
    <col min="11" max="11" width="12" customWidth="1"/>
    <col min="12" max="12" width="18" customWidth="1" outlineLevel="1"/>
    <col min="13" max="13" width="14" customWidth="1"/>
    <col min="14" max="14" width="12" customWidth="1"/>
    <col min="15" max="15" width="18" customWidth="1"/>
    <col min="16" max="16" width="14" customWidth="1"/>
    <col min="17" max="17" width="12" customWidth="1"/>
    <col min="18" max="20" width="18" customWidth="1"/>
    <col min="21" max="21" width="18" customWidth="1" outlineLevel="1"/>
    <col min="22" max="23" width="14" customWidth="1"/>
    <col min="24" max="24" width="9" customWidth="1"/>
    <col min="25" max="25" width="12" style="41" customWidth="1"/>
    <col min="26" max="26" width="22" style="41" customWidth="1" outlineLevel="1"/>
    <col min="27" max="27" width="24" style="41" customWidth="1" outlineLevel="1"/>
    <col min="28" max="28" width="36" style="41" customWidth="1"/>
    <col min="29" max="29" width="16" customWidth="1"/>
  </cols>
  <sheetData>
    <row r="1" spans="1:29" ht="36" customHeight="1" x14ac:dyDescent="0.45">
      <c r="A1" s="162" t="s">
        <v>34</v>
      </c>
      <c r="B1" s="163"/>
      <c r="C1" s="163"/>
      <c r="D1" s="163"/>
      <c r="E1" s="163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64"/>
      <c r="Z1" s="42"/>
      <c r="AA1" s="42"/>
      <c r="AB1" s="42"/>
    </row>
    <row r="2" spans="1:29" ht="15" customHeight="1" x14ac:dyDescent="0.45">
      <c r="A2" s="171" t="s">
        <v>35</v>
      </c>
      <c r="B2" s="163"/>
      <c r="C2" s="163"/>
      <c r="D2" s="163"/>
      <c r="E2" s="163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64"/>
      <c r="Z2" s="43"/>
      <c r="AA2" s="43"/>
      <c r="AB2" s="43"/>
    </row>
    <row r="3" spans="1:29" ht="27.75" customHeight="1" x14ac:dyDescent="0.45">
      <c r="A3" s="159" t="s">
        <v>9</v>
      </c>
      <c r="B3" s="159" t="s">
        <v>10</v>
      </c>
      <c r="C3" s="159" t="s">
        <v>11</v>
      </c>
      <c r="D3" s="159" t="s">
        <v>12</v>
      </c>
      <c r="E3" s="161" t="s">
        <v>36</v>
      </c>
      <c r="F3" s="159" t="s">
        <v>37</v>
      </c>
      <c r="G3" s="168" t="s">
        <v>38</v>
      </c>
      <c r="H3" s="140"/>
      <c r="I3" s="140"/>
      <c r="J3" s="169" t="s">
        <v>39</v>
      </c>
      <c r="K3" s="140"/>
      <c r="L3" s="140"/>
      <c r="M3" s="165" t="s">
        <v>40</v>
      </c>
      <c r="N3" s="140"/>
      <c r="O3" s="140"/>
      <c r="P3" s="170" t="s">
        <v>41</v>
      </c>
      <c r="Q3" s="140"/>
      <c r="R3" s="140"/>
      <c r="S3" s="166" t="s">
        <v>42</v>
      </c>
      <c r="T3" s="144"/>
      <c r="U3" s="167"/>
      <c r="V3" s="159" t="s">
        <v>43</v>
      </c>
      <c r="W3" s="159" t="s">
        <v>44</v>
      </c>
      <c r="X3" s="159" t="s">
        <v>17</v>
      </c>
      <c r="Y3" s="159" t="s">
        <v>45</v>
      </c>
      <c r="Z3" s="44" t="s">
        <v>46</v>
      </c>
      <c r="AA3" s="44" t="s">
        <v>47</v>
      </c>
      <c r="AB3" s="44" t="s">
        <v>48</v>
      </c>
      <c r="AC3" s="45" t="s">
        <v>15</v>
      </c>
    </row>
    <row r="4" spans="1:29" ht="24" customHeight="1" x14ac:dyDescent="0.45">
      <c r="A4" s="160"/>
      <c r="B4" s="160"/>
      <c r="C4" s="160"/>
      <c r="D4" s="160"/>
      <c r="E4" s="160"/>
      <c r="F4" s="160"/>
      <c r="G4" s="46" t="s">
        <v>49</v>
      </c>
      <c r="H4" s="46" t="s">
        <v>50</v>
      </c>
      <c r="I4" s="46" t="s">
        <v>51</v>
      </c>
      <c r="J4" s="47" t="s">
        <v>49</v>
      </c>
      <c r="K4" s="47" t="s">
        <v>50</v>
      </c>
      <c r="L4" s="47" t="s">
        <v>51</v>
      </c>
      <c r="M4" s="48" t="s">
        <v>49</v>
      </c>
      <c r="N4" s="48" t="s">
        <v>50</v>
      </c>
      <c r="O4" s="48" t="s">
        <v>51</v>
      </c>
      <c r="P4" s="49" t="s">
        <v>49</v>
      </c>
      <c r="Q4" s="49" t="s">
        <v>50</v>
      </c>
      <c r="R4" s="50" t="s">
        <v>51</v>
      </c>
      <c r="S4" s="51" t="s">
        <v>49</v>
      </c>
      <c r="T4" s="51" t="s">
        <v>50</v>
      </c>
      <c r="U4" s="52" t="s">
        <v>51</v>
      </c>
      <c r="V4" s="160"/>
      <c r="W4" s="160"/>
      <c r="X4" s="160"/>
      <c r="Y4" s="160"/>
      <c r="Z4" s="53" t="s">
        <v>52</v>
      </c>
      <c r="AA4" s="53" t="s">
        <v>52</v>
      </c>
      <c r="AB4" s="53" t="s">
        <v>53</v>
      </c>
      <c r="AC4" s="54" t="s">
        <v>54</v>
      </c>
    </row>
    <row r="5" spans="1:29" ht="24.75" customHeight="1" x14ac:dyDescent="0.45">
      <c r="A5" s="55">
        <f t="shared" ref="A5:A36" si="0">IF(B5="","",ROW()-4)</f>
        <v>1</v>
      </c>
      <c r="B5" s="56" t="s">
        <v>55</v>
      </c>
      <c r="C5" s="57" t="s">
        <v>56</v>
      </c>
      <c r="D5" s="57" t="s">
        <v>22</v>
      </c>
      <c r="E5" s="57" t="s">
        <v>57</v>
      </c>
      <c r="F5" s="58">
        <v>82934896</v>
      </c>
      <c r="G5" s="59">
        <v>14546700</v>
      </c>
      <c r="H5" s="60">
        <f>DATE(2025,10,20)</f>
        <v>45950</v>
      </c>
      <c r="I5" s="61" t="s">
        <v>58</v>
      </c>
      <c r="J5" s="62">
        <v>47717620.390000001</v>
      </c>
      <c r="K5" s="60">
        <v>46063</v>
      </c>
      <c r="L5" s="61"/>
      <c r="M5" s="59"/>
      <c r="N5" s="60"/>
      <c r="O5" s="61"/>
      <c r="P5" s="59"/>
      <c r="Q5" s="60"/>
      <c r="R5" s="61"/>
      <c r="S5" s="61"/>
      <c r="T5" s="63"/>
      <c r="U5" s="61"/>
      <c r="V5" s="64">
        <f t="shared" ref="V5:V36" si="1">IF(TRIM(Y5)="PAID",SUM(G5,J5,M5,P5,S5),IF(AND(H5&lt;&gt;"",LEN(TRIM(H5))&gt;0),G5,0)+IF(AND(K5&lt;&gt;"",LEN(TRIM(K5))&gt;0),J5,0)+IF(AND(N5&lt;&gt;"",LEN(TRIM(N5))&gt;0),M5,0)+IF(AND(Q5&lt;&gt;"",LEN(TRIM(Q5))&gt;0),P5,0)+IF(AND(T5&lt;&gt;"",LEN(TRIM(T5))&gt;0),S5,0))</f>
        <v>62264320.390000001</v>
      </c>
      <c r="W5" s="64">
        <f t="shared" ref="W5:W36" si="2">IF(OR(F5="",F5=0),"",MAX(0,F5-V5-AC5))</f>
        <v>20670575.609999999</v>
      </c>
      <c r="X5" s="65">
        <f t="shared" ref="X5:X36" si="3">IF(OR(F5=0,F5=""),"-",V5/F5)</f>
        <v>0.75076142122370304</v>
      </c>
      <c r="Y5" s="66" t="s">
        <v>59</v>
      </c>
      <c r="Z5" s="67" t="s">
        <v>60</v>
      </c>
      <c r="AA5" s="66"/>
      <c r="AB5" s="66" t="s">
        <v>58</v>
      </c>
      <c r="AC5" s="68">
        <f t="shared" ref="AC5:AC36" si="4">IF(TRIM(Y5)="PAID",0,IF((IF(AND(OR(H5="",LEN(TRIM(H5))=0),ISNUMBER(G5),G5&gt;0),G5,0)+IF(AND(OR(K5="",LEN(TRIM(K5))=0),ISNUMBER(J5),J5&gt;0),J5,0)+IF(AND(OR(N5="",LEN(TRIM(N5))=0),ISNUMBER(M5),M5&gt;0),M5,0)+IF(AND(OR(Q5="",LEN(TRIM(Q5))=0),ISNUMBER(P5),P5&gt;0),P5,0)+IF(AND(OR(T5="",LEN(TRIM(T5))=0),ISNUMBER(S5),S5&gt;0),S5,0))&gt;0,IF(AND(OR(H5="",LEN(TRIM(H5))=0),ISNUMBER(G5),G5&gt;0),G5,0)+IF(AND(OR(K5="",LEN(TRIM(K5))=0),ISNUMBER(J5),J5&gt;0),J5,0)+IF(AND(OR(N5="",LEN(TRIM(N5))=0),ISNUMBER(M5),M5&gt;0),M5,0)+IF(AND(OR(Q5="",LEN(TRIM(Q5))=0),ISNUMBER(P5),P5&gt;0),P5,0)+IF(AND(OR(T5="",LEN(TRIM(T5))=0),ISNUMBER(S5),S5&gt;0),S5,0),IF(OR(TRIM(Y5)="UPCOMING",TRIM(Y5)="PENDING"),MAX(0,F5-V5),0)))</f>
        <v>0</v>
      </c>
    </row>
    <row r="6" spans="1:29" ht="15" customHeight="1" x14ac:dyDescent="0.45">
      <c r="A6" s="55">
        <f t="shared" si="0"/>
        <v>2</v>
      </c>
      <c r="B6" s="56" t="s">
        <v>61</v>
      </c>
      <c r="C6" s="57" t="s">
        <v>62</v>
      </c>
      <c r="D6" s="57" t="s">
        <v>21</v>
      </c>
      <c r="E6" s="57" t="s">
        <v>63</v>
      </c>
      <c r="F6" s="69">
        <v>454196669.95999998</v>
      </c>
      <c r="G6" s="59">
        <v>158970000</v>
      </c>
      <c r="H6" s="60">
        <v>45992</v>
      </c>
      <c r="I6" s="61"/>
      <c r="J6" s="62">
        <v>136128196.86000001</v>
      </c>
      <c r="K6" s="60">
        <v>46063</v>
      </c>
      <c r="L6" s="61"/>
      <c r="M6" s="59"/>
      <c r="N6" s="60"/>
      <c r="O6" s="61"/>
      <c r="P6" s="59"/>
      <c r="Q6" s="60"/>
      <c r="R6" s="61"/>
      <c r="S6" s="61"/>
      <c r="T6" s="63"/>
      <c r="U6" s="61"/>
      <c r="V6" s="64">
        <f t="shared" si="1"/>
        <v>295098196.86000001</v>
      </c>
      <c r="W6" s="64">
        <f t="shared" si="2"/>
        <v>159098473.09999996</v>
      </c>
      <c r="X6" s="65">
        <f t="shared" si="3"/>
        <v>0.64971457603594629</v>
      </c>
      <c r="Y6" s="66" t="s">
        <v>59</v>
      </c>
      <c r="Z6" s="67" t="s">
        <v>64</v>
      </c>
      <c r="AA6" s="67" t="s">
        <v>65</v>
      </c>
      <c r="AB6" s="66" t="s">
        <v>66</v>
      </c>
      <c r="AC6" s="68">
        <f t="shared" si="4"/>
        <v>0</v>
      </c>
    </row>
    <row r="7" spans="1:29" ht="15" customHeight="1" x14ac:dyDescent="0.45">
      <c r="A7" s="55">
        <f t="shared" si="0"/>
        <v>3</v>
      </c>
      <c r="B7" s="56" t="s">
        <v>67</v>
      </c>
      <c r="C7" s="57" t="s">
        <v>68</v>
      </c>
      <c r="D7" s="57" t="s">
        <v>21</v>
      </c>
      <c r="E7" s="57" t="s">
        <v>69</v>
      </c>
      <c r="F7" s="70">
        <v>10050000</v>
      </c>
      <c r="G7" s="59">
        <v>3015000</v>
      </c>
      <c r="H7" s="60">
        <v>45874</v>
      </c>
      <c r="I7" s="61" t="s">
        <v>70</v>
      </c>
      <c r="J7" s="59">
        <v>3015000</v>
      </c>
      <c r="K7" s="60">
        <v>46063</v>
      </c>
      <c r="L7" s="61"/>
      <c r="M7" s="59"/>
      <c r="N7" s="60"/>
      <c r="O7" s="61"/>
      <c r="P7" s="59"/>
      <c r="Q7" s="60"/>
      <c r="R7" s="61"/>
      <c r="S7" s="61"/>
      <c r="T7" s="63"/>
      <c r="U7" s="61"/>
      <c r="V7" s="64">
        <f t="shared" si="1"/>
        <v>6030000</v>
      </c>
      <c r="W7" s="64">
        <f t="shared" si="2"/>
        <v>4020000</v>
      </c>
      <c r="X7" s="65">
        <f t="shared" si="3"/>
        <v>0.6</v>
      </c>
      <c r="Y7" s="66" t="s">
        <v>59</v>
      </c>
      <c r="Z7" s="66"/>
      <c r="AA7" s="66"/>
      <c r="AB7" s="66" t="s">
        <v>70</v>
      </c>
      <c r="AC7" s="68">
        <f t="shared" si="4"/>
        <v>0</v>
      </c>
    </row>
    <row r="8" spans="1:29" ht="15" customHeight="1" x14ac:dyDescent="0.45">
      <c r="A8" s="55">
        <f t="shared" si="0"/>
        <v>4</v>
      </c>
      <c r="B8" s="56" t="s">
        <v>71</v>
      </c>
      <c r="C8" s="57" t="s">
        <v>72</v>
      </c>
      <c r="D8" s="57" t="s">
        <v>21</v>
      </c>
      <c r="E8" s="57" t="s">
        <v>73</v>
      </c>
      <c r="F8" s="70">
        <v>53793000</v>
      </c>
      <c r="G8" s="59">
        <v>32275800</v>
      </c>
      <c r="H8" s="60">
        <v>45988</v>
      </c>
      <c r="I8" s="61"/>
      <c r="J8" s="59">
        <v>16137900</v>
      </c>
      <c r="K8" s="60">
        <v>46063</v>
      </c>
      <c r="L8" s="61"/>
      <c r="M8" s="59"/>
      <c r="N8" s="60"/>
      <c r="O8" s="61"/>
      <c r="P8" s="59"/>
      <c r="Q8" s="60"/>
      <c r="R8" s="61"/>
      <c r="S8" s="61"/>
      <c r="T8" s="63"/>
      <c r="U8" s="61"/>
      <c r="V8" s="64">
        <f t="shared" si="1"/>
        <v>48413700</v>
      </c>
      <c r="W8" s="64">
        <f t="shared" si="2"/>
        <v>5379300</v>
      </c>
      <c r="X8" s="65">
        <f t="shared" si="3"/>
        <v>0.9</v>
      </c>
      <c r="Y8" s="66" t="s">
        <v>59</v>
      </c>
      <c r="Z8" s="67" t="s">
        <v>74</v>
      </c>
      <c r="AA8" s="66"/>
      <c r="AB8" s="66" t="s">
        <v>75</v>
      </c>
      <c r="AC8" s="68">
        <f t="shared" si="4"/>
        <v>0</v>
      </c>
    </row>
    <row r="9" spans="1:29" ht="15" customHeight="1" x14ac:dyDescent="0.45">
      <c r="A9" s="55">
        <f t="shared" si="0"/>
        <v>5</v>
      </c>
      <c r="B9" s="56" t="s">
        <v>71</v>
      </c>
      <c r="C9" s="57" t="s">
        <v>76</v>
      </c>
      <c r="D9" s="57" t="s">
        <v>22</v>
      </c>
      <c r="E9" s="57" t="s">
        <v>77</v>
      </c>
      <c r="F9" s="70">
        <v>76871100</v>
      </c>
      <c r="G9" s="59">
        <v>38435550</v>
      </c>
      <c r="H9" s="60">
        <f>DATE(2026,1,6)</f>
        <v>46028</v>
      </c>
      <c r="I9" s="61" t="s">
        <v>78</v>
      </c>
      <c r="J9" s="59">
        <v>22632282</v>
      </c>
      <c r="K9" s="60">
        <v>46063</v>
      </c>
      <c r="L9" s="61"/>
      <c r="M9" s="59"/>
      <c r="N9" s="60"/>
      <c r="O9" s="61"/>
      <c r="P9" s="59"/>
      <c r="Q9" s="60"/>
      <c r="R9" s="61"/>
      <c r="S9" s="61"/>
      <c r="T9" s="63"/>
      <c r="U9" s="61"/>
      <c r="V9" s="64">
        <f t="shared" si="1"/>
        <v>61067832</v>
      </c>
      <c r="W9" s="64">
        <f t="shared" si="2"/>
        <v>15803268</v>
      </c>
      <c r="X9" s="65">
        <f t="shared" si="3"/>
        <v>0.79441860465116276</v>
      </c>
      <c r="Y9" s="66" t="s">
        <v>59</v>
      </c>
      <c r="Z9" s="67" t="s">
        <v>79</v>
      </c>
      <c r="AA9" s="66"/>
      <c r="AB9" s="66" t="s">
        <v>80</v>
      </c>
      <c r="AC9" s="68">
        <f t="shared" si="4"/>
        <v>0</v>
      </c>
    </row>
    <row r="10" spans="1:29" ht="15" customHeight="1" x14ac:dyDescent="0.45">
      <c r="A10" s="55">
        <f t="shared" si="0"/>
        <v>6</v>
      </c>
      <c r="B10" s="56" t="s">
        <v>81</v>
      </c>
      <c r="C10" s="57" t="s">
        <v>82</v>
      </c>
      <c r="D10" s="57" t="s">
        <v>22</v>
      </c>
      <c r="E10" s="57" t="s">
        <v>83</v>
      </c>
      <c r="F10" s="70">
        <v>1750000</v>
      </c>
      <c r="G10" s="59"/>
      <c r="H10" s="60"/>
      <c r="I10" s="61"/>
      <c r="J10" s="59"/>
      <c r="K10" s="60"/>
      <c r="L10" s="61"/>
      <c r="M10" s="59"/>
      <c r="N10" s="60"/>
      <c r="O10" s="61"/>
      <c r="P10" s="59"/>
      <c r="Q10" s="60"/>
      <c r="R10" s="61"/>
      <c r="S10" s="61">
        <v>1750000</v>
      </c>
      <c r="T10" s="63">
        <v>45972</v>
      </c>
      <c r="U10" s="61"/>
      <c r="V10" s="64">
        <f t="shared" si="1"/>
        <v>1750000</v>
      </c>
      <c r="W10" s="64">
        <f t="shared" si="2"/>
        <v>0</v>
      </c>
      <c r="X10" s="65">
        <f t="shared" si="3"/>
        <v>1</v>
      </c>
      <c r="Y10" s="66" t="s">
        <v>84</v>
      </c>
      <c r="Z10" s="66" t="s">
        <v>85</v>
      </c>
      <c r="AA10" s="66"/>
      <c r="AB10" s="66" t="s">
        <v>78</v>
      </c>
      <c r="AC10" s="68">
        <f t="shared" si="4"/>
        <v>0</v>
      </c>
    </row>
    <row r="11" spans="1:29" ht="15" customHeight="1" x14ac:dyDescent="0.45">
      <c r="A11" s="55">
        <f t="shared" si="0"/>
        <v>7</v>
      </c>
      <c r="B11" s="71" t="s">
        <v>86</v>
      </c>
      <c r="C11" s="72" t="s">
        <v>87</v>
      </c>
      <c r="D11" s="72" t="s">
        <v>21</v>
      </c>
      <c r="E11" s="72" t="s">
        <v>88</v>
      </c>
      <c r="F11" s="70">
        <v>3964400</v>
      </c>
      <c r="G11" s="73"/>
      <c r="H11" s="74"/>
      <c r="I11" s="73"/>
      <c r="J11" s="73"/>
      <c r="K11" s="74"/>
      <c r="L11" s="73"/>
      <c r="M11" s="73"/>
      <c r="N11" s="74"/>
      <c r="O11" s="73"/>
      <c r="P11" s="73"/>
      <c r="Q11" s="74"/>
      <c r="R11" s="73"/>
      <c r="S11" s="61">
        <v>3964400</v>
      </c>
      <c r="T11" s="74">
        <v>45965</v>
      </c>
      <c r="U11" s="73"/>
      <c r="V11" s="64">
        <f t="shared" si="1"/>
        <v>3964400</v>
      </c>
      <c r="W11" s="68">
        <f t="shared" si="2"/>
        <v>0</v>
      </c>
      <c r="X11" s="65">
        <f t="shared" si="3"/>
        <v>1</v>
      </c>
      <c r="Y11" s="75" t="s">
        <v>84</v>
      </c>
      <c r="Z11" s="76"/>
      <c r="AA11" s="76"/>
      <c r="AB11" s="76"/>
      <c r="AC11" s="68">
        <f t="shared" si="4"/>
        <v>0</v>
      </c>
    </row>
    <row r="12" spans="1:29" ht="15" customHeight="1" x14ac:dyDescent="0.45">
      <c r="A12" s="55">
        <f t="shared" si="0"/>
        <v>8</v>
      </c>
      <c r="B12" s="71" t="s">
        <v>89</v>
      </c>
      <c r="C12" s="72" t="s">
        <v>90</v>
      </c>
      <c r="D12" s="72" t="s">
        <v>21</v>
      </c>
      <c r="E12" s="72" t="s">
        <v>91</v>
      </c>
      <c r="F12" s="70">
        <v>120000</v>
      </c>
      <c r="G12" s="73"/>
      <c r="H12" s="60"/>
      <c r="I12" s="73"/>
      <c r="J12" s="73"/>
      <c r="K12" s="74"/>
      <c r="L12" s="73"/>
      <c r="M12" s="73"/>
      <c r="N12" s="74"/>
      <c r="O12" s="73"/>
      <c r="P12" s="73"/>
      <c r="Q12" s="74"/>
      <c r="R12" s="73"/>
      <c r="S12" s="61">
        <v>120000</v>
      </c>
      <c r="T12" s="74"/>
      <c r="U12" s="73"/>
      <c r="V12" s="64">
        <f t="shared" si="1"/>
        <v>120000</v>
      </c>
      <c r="W12" s="68">
        <f t="shared" si="2"/>
        <v>0</v>
      </c>
      <c r="X12" s="65">
        <f t="shared" si="3"/>
        <v>1</v>
      </c>
      <c r="Y12" s="75" t="s">
        <v>84</v>
      </c>
      <c r="Z12" s="75"/>
      <c r="AA12" s="75"/>
      <c r="AB12" s="75"/>
      <c r="AC12" s="68">
        <f t="shared" si="4"/>
        <v>0</v>
      </c>
    </row>
    <row r="13" spans="1:29" ht="28.5" customHeight="1" x14ac:dyDescent="0.45">
      <c r="A13" s="55">
        <f t="shared" si="0"/>
        <v>9</v>
      </c>
      <c r="B13" s="71" t="s">
        <v>81</v>
      </c>
      <c r="C13" s="72" t="s">
        <v>82</v>
      </c>
      <c r="D13" s="72" t="s">
        <v>22</v>
      </c>
      <c r="E13" s="72" t="s">
        <v>92</v>
      </c>
      <c r="F13" s="70">
        <v>10000000</v>
      </c>
      <c r="G13" s="70"/>
      <c r="H13" s="60"/>
      <c r="I13" s="61"/>
      <c r="J13" s="70"/>
      <c r="K13" s="60"/>
      <c r="L13" s="61"/>
      <c r="M13" s="70"/>
      <c r="N13" s="60"/>
      <c r="O13" s="61"/>
      <c r="P13" s="70"/>
      <c r="Q13" s="60"/>
      <c r="R13" s="61"/>
      <c r="S13" s="61">
        <v>10000000</v>
      </c>
      <c r="T13" s="74">
        <v>45966</v>
      </c>
      <c r="U13" s="73"/>
      <c r="V13" s="64">
        <f t="shared" si="1"/>
        <v>10000000</v>
      </c>
      <c r="W13" s="68">
        <f t="shared" si="2"/>
        <v>0</v>
      </c>
      <c r="X13" s="65">
        <f t="shared" si="3"/>
        <v>1</v>
      </c>
      <c r="Y13" s="75" t="s">
        <v>84</v>
      </c>
      <c r="Z13" s="75"/>
      <c r="AA13" s="75"/>
      <c r="AB13" s="77" t="s">
        <v>93</v>
      </c>
      <c r="AC13" s="68">
        <f t="shared" si="4"/>
        <v>0</v>
      </c>
    </row>
    <row r="14" spans="1:29" ht="27" customHeight="1" x14ac:dyDescent="0.45">
      <c r="A14" s="55">
        <f t="shared" si="0"/>
        <v>10</v>
      </c>
      <c r="B14" s="78" t="s">
        <v>94</v>
      </c>
      <c r="C14" s="72" t="s">
        <v>82</v>
      </c>
      <c r="D14" s="72" t="s">
        <v>22</v>
      </c>
      <c r="E14" s="72" t="s">
        <v>95</v>
      </c>
      <c r="F14" s="70">
        <v>300000</v>
      </c>
      <c r="G14" s="73"/>
      <c r="H14" s="60"/>
      <c r="I14" s="61"/>
      <c r="J14" s="73"/>
      <c r="K14" s="74"/>
      <c r="L14" s="73"/>
      <c r="M14" s="73"/>
      <c r="N14" s="74"/>
      <c r="O14" s="73"/>
      <c r="P14" s="73"/>
      <c r="Q14" s="74"/>
      <c r="R14" s="73"/>
      <c r="S14" s="61"/>
      <c r="T14" s="74">
        <v>46080</v>
      </c>
      <c r="U14" s="73"/>
      <c r="V14" s="64">
        <f t="shared" si="1"/>
        <v>0</v>
      </c>
      <c r="W14" s="68">
        <f t="shared" si="2"/>
        <v>0</v>
      </c>
      <c r="X14" s="65">
        <f t="shared" si="3"/>
        <v>0</v>
      </c>
      <c r="Y14" s="75" t="s">
        <v>96</v>
      </c>
      <c r="Z14" s="75"/>
      <c r="AA14" s="75"/>
      <c r="AB14" s="75"/>
      <c r="AC14" s="68">
        <f t="shared" si="4"/>
        <v>300000</v>
      </c>
    </row>
    <row r="15" spans="1:29" ht="15.75" customHeight="1" x14ac:dyDescent="0.45">
      <c r="A15" s="55">
        <f t="shared" si="0"/>
        <v>11</v>
      </c>
      <c r="B15" s="78" t="s">
        <v>94</v>
      </c>
      <c r="C15" s="72" t="s">
        <v>82</v>
      </c>
      <c r="D15" s="72" t="s">
        <v>22</v>
      </c>
      <c r="E15" s="72" t="s">
        <v>95</v>
      </c>
      <c r="F15" s="70">
        <v>468000</v>
      </c>
      <c r="G15" s="73"/>
      <c r="H15" s="60"/>
      <c r="I15" s="61"/>
      <c r="J15" s="73"/>
      <c r="K15" s="74"/>
      <c r="L15" s="73"/>
      <c r="M15" s="73"/>
      <c r="N15" s="74"/>
      <c r="O15" s="73"/>
      <c r="P15" s="73"/>
      <c r="Q15" s="74"/>
      <c r="R15" s="73"/>
      <c r="S15" s="61"/>
      <c r="T15" s="74">
        <v>46065</v>
      </c>
      <c r="U15" s="73"/>
      <c r="V15" s="64">
        <f t="shared" si="1"/>
        <v>0</v>
      </c>
      <c r="W15" s="68">
        <f t="shared" si="2"/>
        <v>0</v>
      </c>
      <c r="X15" s="65">
        <f t="shared" si="3"/>
        <v>0</v>
      </c>
      <c r="Y15" s="75" t="s">
        <v>96</v>
      </c>
      <c r="Z15" s="75"/>
      <c r="AA15" s="75"/>
      <c r="AB15" s="75"/>
      <c r="AC15" s="68">
        <f t="shared" si="4"/>
        <v>468000</v>
      </c>
    </row>
    <row r="16" spans="1:29" ht="31.5" customHeight="1" x14ac:dyDescent="0.45">
      <c r="A16" s="55">
        <f t="shared" si="0"/>
        <v>12</v>
      </c>
      <c r="B16" s="78" t="s">
        <v>94</v>
      </c>
      <c r="C16" s="72" t="s">
        <v>82</v>
      </c>
      <c r="D16" s="72" t="s">
        <v>22</v>
      </c>
      <c r="E16" s="72" t="s">
        <v>95</v>
      </c>
      <c r="F16" s="70">
        <v>446500</v>
      </c>
      <c r="G16" s="73"/>
      <c r="H16" s="60"/>
      <c r="I16" s="61"/>
      <c r="J16" s="73"/>
      <c r="K16" s="74"/>
      <c r="L16" s="73"/>
      <c r="M16" s="73"/>
      <c r="N16" s="74"/>
      <c r="O16" s="73"/>
      <c r="P16" s="73"/>
      <c r="Q16" s="74"/>
      <c r="R16" s="73"/>
      <c r="S16" s="61"/>
      <c r="T16" s="74">
        <v>46021</v>
      </c>
      <c r="U16" s="73"/>
      <c r="V16" s="64">
        <f t="shared" si="1"/>
        <v>0</v>
      </c>
      <c r="W16" s="68">
        <f t="shared" si="2"/>
        <v>0</v>
      </c>
      <c r="X16" s="65">
        <f t="shared" si="3"/>
        <v>0</v>
      </c>
      <c r="Y16" s="75" t="s">
        <v>96</v>
      </c>
      <c r="Z16" s="75"/>
      <c r="AA16" s="75"/>
      <c r="AB16" s="75"/>
      <c r="AC16" s="68">
        <f t="shared" si="4"/>
        <v>446500</v>
      </c>
    </row>
    <row r="17" spans="1:29" ht="31.5" customHeight="1" x14ac:dyDescent="0.45">
      <c r="A17" s="55">
        <f t="shared" si="0"/>
        <v>13</v>
      </c>
      <c r="B17" s="71" t="s">
        <v>89</v>
      </c>
      <c r="C17" s="72" t="s">
        <v>90</v>
      </c>
      <c r="D17" s="72" t="s">
        <v>22</v>
      </c>
      <c r="E17" s="72" t="s">
        <v>97</v>
      </c>
      <c r="F17" s="70">
        <v>250000</v>
      </c>
      <c r="G17" s="73"/>
      <c r="H17" s="60"/>
      <c r="I17" s="61"/>
      <c r="J17" s="73"/>
      <c r="K17" s="74"/>
      <c r="L17" s="73"/>
      <c r="M17" s="73"/>
      <c r="N17" s="74"/>
      <c r="O17" s="73"/>
      <c r="P17" s="73"/>
      <c r="Q17" s="74"/>
      <c r="R17" s="73"/>
      <c r="S17" s="61"/>
      <c r="T17" s="74">
        <v>46032</v>
      </c>
      <c r="U17" s="73"/>
      <c r="V17" s="64">
        <f t="shared" si="1"/>
        <v>0</v>
      </c>
      <c r="W17" s="68">
        <f t="shared" si="2"/>
        <v>0</v>
      </c>
      <c r="X17" s="65">
        <f t="shared" si="3"/>
        <v>0</v>
      </c>
      <c r="Y17" s="75" t="s">
        <v>96</v>
      </c>
      <c r="Z17" s="75"/>
      <c r="AA17" s="75"/>
      <c r="AB17" s="75"/>
      <c r="AC17" s="68">
        <f t="shared" si="4"/>
        <v>250000</v>
      </c>
    </row>
    <row r="18" spans="1:29" ht="31.5" customHeight="1" x14ac:dyDescent="0.45">
      <c r="A18" s="55">
        <f t="shared" si="0"/>
        <v>14</v>
      </c>
      <c r="B18" s="78" t="s">
        <v>94</v>
      </c>
      <c r="C18" s="79" t="s">
        <v>82</v>
      </c>
      <c r="D18" s="79" t="s">
        <v>22</v>
      </c>
      <c r="E18" s="72" t="s">
        <v>95</v>
      </c>
      <c r="F18" s="70">
        <v>300000</v>
      </c>
      <c r="G18" s="73"/>
      <c r="H18" s="60"/>
      <c r="I18" s="61"/>
      <c r="J18" s="73"/>
      <c r="K18" s="74"/>
      <c r="L18" s="61"/>
      <c r="M18" s="73"/>
      <c r="N18" s="74"/>
      <c r="O18" s="61"/>
      <c r="P18" s="73"/>
      <c r="Q18" s="74"/>
      <c r="R18" s="73"/>
      <c r="S18" s="61"/>
      <c r="T18" s="74">
        <v>46000</v>
      </c>
      <c r="U18" s="73"/>
      <c r="V18" s="64">
        <f t="shared" si="1"/>
        <v>0</v>
      </c>
      <c r="W18" s="68">
        <f t="shared" si="2"/>
        <v>0</v>
      </c>
      <c r="X18" s="65">
        <f t="shared" si="3"/>
        <v>0</v>
      </c>
      <c r="Y18" s="75" t="s">
        <v>96</v>
      </c>
      <c r="Z18" s="75"/>
      <c r="AA18" s="75"/>
      <c r="AB18" s="75"/>
      <c r="AC18" s="68">
        <f t="shared" si="4"/>
        <v>300000</v>
      </c>
    </row>
    <row r="19" spans="1:29" ht="15" customHeight="1" x14ac:dyDescent="0.45">
      <c r="A19" s="55">
        <f t="shared" si="0"/>
        <v>15</v>
      </c>
      <c r="B19" s="80" t="s">
        <v>98</v>
      </c>
      <c r="C19" s="81" t="s">
        <v>90</v>
      </c>
      <c r="D19" s="81" t="s">
        <v>22</v>
      </c>
      <c r="E19" s="81" t="s">
        <v>99</v>
      </c>
      <c r="F19" s="70">
        <v>40000</v>
      </c>
      <c r="G19" s="82"/>
      <c r="H19" s="60"/>
      <c r="I19" s="61"/>
      <c r="J19" s="82"/>
      <c r="K19" s="74"/>
      <c r="L19" s="61"/>
      <c r="M19" s="82"/>
      <c r="N19" s="74"/>
      <c r="O19" s="61"/>
      <c r="P19" s="82"/>
      <c r="Q19" s="74"/>
      <c r="R19" s="73"/>
      <c r="S19" s="61">
        <v>40000</v>
      </c>
      <c r="T19" s="74">
        <v>45992</v>
      </c>
      <c r="U19" s="73"/>
      <c r="V19" s="64">
        <f t="shared" si="1"/>
        <v>40000</v>
      </c>
      <c r="W19" s="68">
        <f t="shared" si="2"/>
        <v>0</v>
      </c>
      <c r="X19" s="65">
        <f t="shared" si="3"/>
        <v>1</v>
      </c>
      <c r="Y19" s="76" t="s">
        <v>84</v>
      </c>
      <c r="Z19" s="76"/>
      <c r="AA19" s="76"/>
      <c r="AB19" s="76"/>
      <c r="AC19" s="68">
        <f t="shared" si="4"/>
        <v>0</v>
      </c>
    </row>
    <row r="20" spans="1:29" ht="31.5" customHeight="1" x14ac:dyDescent="0.45">
      <c r="A20" s="55">
        <f t="shared" si="0"/>
        <v>16</v>
      </c>
      <c r="B20" s="80" t="s">
        <v>98</v>
      </c>
      <c r="C20" s="81" t="s">
        <v>82</v>
      </c>
      <c r="D20" s="81" t="s">
        <v>22</v>
      </c>
      <c r="E20" s="81" t="s">
        <v>100</v>
      </c>
      <c r="F20" s="70">
        <v>750000</v>
      </c>
      <c r="G20" s="82"/>
      <c r="H20" s="60"/>
      <c r="I20" s="61"/>
      <c r="J20" s="82"/>
      <c r="K20" s="74"/>
      <c r="L20" s="61"/>
      <c r="M20" s="82"/>
      <c r="N20" s="74"/>
      <c r="O20" s="61"/>
      <c r="P20" s="82"/>
      <c r="Q20" s="74"/>
      <c r="R20" s="73"/>
      <c r="S20" s="61">
        <v>750000</v>
      </c>
      <c r="T20" s="74">
        <v>45966</v>
      </c>
      <c r="U20" s="73"/>
      <c r="V20" s="64">
        <f t="shared" si="1"/>
        <v>750000</v>
      </c>
      <c r="W20" s="68">
        <f t="shared" si="2"/>
        <v>0</v>
      </c>
      <c r="X20" s="65">
        <f t="shared" si="3"/>
        <v>1</v>
      </c>
      <c r="Y20" s="76" t="s">
        <v>84</v>
      </c>
      <c r="Z20" s="76"/>
      <c r="AA20" s="76"/>
      <c r="AB20" s="76"/>
      <c r="AC20" s="68">
        <f t="shared" si="4"/>
        <v>0</v>
      </c>
    </row>
    <row r="21" spans="1:29" ht="15" customHeight="1" x14ac:dyDescent="0.45">
      <c r="A21" s="55">
        <f t="shared" si="0"/>
        <v>17</v>
      </c>
      <c r="B21" s="80" t="s">
        <v>98</v>
      </c>
      <c r="C21" s="81" t="s">
        <v>82</v>
      </c>
      <c r="D21" s="81" t="s">
        <v>22</v>
      </c>
      <c r="E21" s="81" t="s">
        <v>101</v>
      </c>
      <c r="F21" s="70">
        <v>50000</v>
      </c>
      <c r="G21" s="82"/>
      <c r="H21" s="60"/>
      <c r="I21" s="61"/>
      <c r="J21" s="82"/>
      <c r="K21" s="74"/>
      <c r="L21" s="61"/>
      <c r="M21" s="82"/>
      <c r="N21" s="74"/>
      <c r="O21" s="61"/>
      <c r="P21" s="82"/>
      <c r="Q21" s="74"/>
      <c r="R21" s="73"/>
      <c r="S21" s="61"/>
      <c r="T21" s="74">
        <v>46000</v>
      </c>
      <c r="U21" s="73"/>
      <c r="V21" s="64">
        <f t="shared" si="1"/>
        <v>0</v>
      </c>
      <c r="W21" s="68">
        <f t="shared" si="2"/>
        <v>0</v>
      </c>
      <c r="X21" s="65">
        <f t="shared" si="3"/>
        <v>0</v>
      </c>
      <c r="Y21" s="76" t="s">
        <v>96</v>
      </c>
      <c r="Z21" s="76"/>
      <c r="AA21" s="76"/>
      <c r="AB21" s="76"/>
      <c r="AC21" s="68">
        <f t="shared" si="4"/>
        <v>50000</v>
      </c>
    </row>
    <row r="22" spans="1:29" ht="15" customHeight="1" x14ac:dyDescent="0.45">
      <c r="A22" s="55">
        <f t="shared" si="0"/>
        <v>18</v>
      </c>
      <c r="B22" s="80" t="s">
        <v>98</v>
      </c>
      <c r="C22" s="81" t="s">
        <v>90</v>
      </c>
      <c r="D22" s="81" t="s">
        <v>22</v>
      </c>
      <c r="E22" s="81" t="s">
        <v>102</v>
      </c>
      <c r="F22" s="70">
        <v>120000</v>
      </c>
      <c r="G22" s="70"/>
      <c r="H22" s="60"/>
      <c r="I22" s="61"/>
      <c r="J22" s="70"/>
      <c r="K22" s="60"/>
      <c r="L22" s="61"/>
      <c r="M22" s="70"/>
      <c r="N22" s="60"/>
      <c r="O22" s="61"/>
      <c r="P22" s="82"/>
      <c r="Q22" s="74"/>
      <c r="R22" s="73"/>
      <c r="S22" s="61"/>
      <c r="T22" s="74"/>
      <c r="U22" s="73"/>
      <c r="V22" s="64">
        <f t="shared" si="1"/>
        <v>0</v>
      </c>
      <c r="W22" s="68">
        <f t="shared" si="2"/>
        <v>0</v>
      </c>
      <c r="X22" s="65">
        <f t="shared" si="3"/>
        <v>0</v>
      </c>
      <c r="Y22" s="76" t="s">
        <v>96</v>
      </c>
      <c r="Z22" s="76"/>
      <c r="AA22" s="76"/>
      <c r="AB22" s="76"/>
      <c r="AC22" s="68">
        <f t="shared" si="4"/>
        <v>120000</v>
      </c>
    </row>
    <row r="23" spans="1:29" ht="15" customHeight="1" x14ac:dyDescent="0.45">
      <c r="A23" s="55">
        <f t="shared" si="0"/>
        <v>19</v>
      </c>
      <c r="B23" s="80" t="s">
        <v>103</v>
      </c>
      <c r="C23" s="81" t="s">
        <v>87</v>
      </c>
      <c r="D23" s="81" t="s">
        <v>21</v>
      </c>
      <c r="E23" s="81" t="s">
        <v>104</v>
      </c>
      <c r="F23" s="70">
        <v>872000</v>
      </c>
      <c r="G23" s="82"/>
      <c r="H23" s="74"/>
      <c r="I23" s="73"/>
      <c r="J23" s="82"/>
      <c r="K23" s="74"/>
      <c r="L23" s="73"/>
      <c r="M23" s="82"/>
      <c r="N23" s="74"/>
      <c r="O23" s="73"/>
      <c r="P23" s="82"/>
      <c r="Q23" s="74"/>
      <c r="R23" s="73"/>
      <c r="S23" s="61"/>
      <c r="T23" s="74">
        <v>46116</v>
      </c>
      <c r="U23" s="73"/>
      <c r="V23" s="64">
        <f t="shared" si="1"/>
        <v>0</v>
      </c>
      <c r="W23" s="68">
        <f t="shared" si="2"/>
        <v>0</v>
      </c>
      <c r="X23" s="65">
        <f t="shared" si="3"/>
        <v>0</v>
      </c>
      <c r="Y23" s="76" t="s">
        <v>105</v>
      </c>
      <c r="Z23" s="76"/>
      <c r="AA23" s="76"/>
      <c r="AB23" s="76"/>
      <c r="AC23" s="68">
        <f t="shared" si="4"/>
        <v>872000</v>
      </c>
    </row>
    <row r="24" spans="1:29" ht="15" customHeight="1" x14ac:dyDescent="0.45">
      <c r="A24" s="55">
        <f t="shared" si="0"/>
        <v>20</v>
      </c>
      <c r="B24" s="83" t="s">
        <v>81</v>
      </c>
      <c r="C24" s="81" t="s">
        <v>82</v>
      </c>
      <c r="D24" s="81" t="s">
        <v>22</v>
      </c>
      <c r="E24" s="81" t="s">
        <v>106</v>
      </c>
      <c r="F24" s="70">
        <v>610000</v>
      </c>
      <c r="G24" s="82"/>
      <c r="H24" s="60"/>
      <c r="I24" s="73"/>
      <c r="J24" s="82"/>
      <c r="K24" s="74"/>
      <c r="L24" s="73"/>
      <c r="M24" s="82"/>
      <c r="N24" s="74"/>
      <c r="O24" s="73"/>
      <c r="P24" s="82"/>
      <c r="Q24" s="74"/>
      <c r="R24" s="73"/>
      <c r="S24" s="61">
        <v>610000</v>
      </c>
      <c r="T24" s="74">
        <v>46331</v>
      </c>
      <c r="U24" s="73"/>
      <c r="V24" s="64">
        <f t="shared" si="1"/>
        <v>610000</v>
      </c>
      <c r="W24" s="68">
        <f t="shared" si="2"/>
        <v>0</v>
      </c>
      <c r="X24" s="65">
        <f t="shared" si="3"/>
        <v>1</v>
      </c>
      <c r="Y24" s="76" t="s">
        <v>84</v>
      </c>
      <c r="Z24" s="76"/>
      <c r="AA24" s="76"/>
      <c r="AB24" s="76"/>
      <c r="AC24" s="68">
        <f t="shared" si="4"/>
        <v>0</v>
      </c>
    </row>
    <row r="25" spans="1:29" ht="15" customHeight="1" x14ac:dyDescent="0.45">
      <c r="A25" s="55">
        <f t="shared" si="0"/>
        <v>21</v>
      </c>
      <c r="B25" s="83" t="s">
        <v>81</v>
      </c>
      <c r="C25" s="81" t="s">
        <v>82</v>
      </c>
      <c r="D25" s="81" t="s">
        <v>22</v>
      </c>
      <c r="E25" s="81" t="s">
        <v>107</v>
      </c>
      <c r="F25" s="70">
        <v>2000000</v>
      </c>
      <c r="G25" s="82"/>
      <c r="H25" s="60"/>
      <c r="I25" s="73"/>
      <c r="J25" s="82"/>
      <c r="K25" s="74"/>
      <c r="L25" s="73"/>
      <c r="M25" s="82"/>
      <c r="N25" s="74"/>
      <c r="O25" s="73"/>
      <c r="P25" s="82"/>
      <c r="Q25" s="74"/>
      <c r="R25" s="73"/>
      <c r="S25" s="61">
        <v>2000000</v>
      </c>
      <c r="T25" s="74">
        <v>45792</v>
      </c>
      <c r="U25" s="73"/>
      <c r="V25" s="64">
        <f t="shared" si="1"/>
        <v>2000000</v>
      </c>
      <c r="W25" s="68">
        <f t="shared" si="2"/>
        <v>0</v>
      </c>
      <c r="X25" s="65">
        <f t="shared" si="3"/>
        <v>1</v>
      </c>
      <c r="Y25" s="76" t="s">
        <v>84</v>
      </c>
      <c r="Z25" s="76"/>
      <c r="AA25" s="76"/>
      <c r="AB25" s="76"/>
      <c r="AC25" s="68">
        <f t="shared" si="4"/>
        <v>0</v>
      </c>
    </row>
    <row r="26" spans="1:29" ht="15" customHeight="1" x14ac:dyDescent="0.45">
      <c r="A26" s="55">
        <f t="shared" si="0"/>
        <v>22</v>
      </c>
      <c r="B26" s="83" t="s">
        <v>108</v>
      </c>
      <c r="C26" s="81" t="s">
        <v>82</v>
      </c>
      <c r="D26" s="81" t="s">
        <v>22</v>
      </c>
      <c r="E26" s="81" t="s">
        <v>109</v>
      </c>
      <c r="F26" s="70">
        <v>1600000</v>
      </c>
      <c r="G26" s="82"/>
      <c r="H26" s="60"/>
      <c r="I26" s="73"/>
      <c r="J26" s="82"/>
      <c r="K26" s="74"/>
      <c r="L26" s="73"/>
      <c r="M26" s="82"/>
      <c r="N26" s="74"/>
      <c r="O26" s="73"/>
      <c r="P26" s="82"/>
      <c r="Q26" s="74"/>
      <c r="R26" s="73"/>
      <c r="S26" s="61">
        <v>1600000</v>
      </c>
      <c r="T26" s="74"/>
      <c r="U26" s="73"/>
      <c r="V26" s="64">
        <f t="shared" si="1"/>
        <v>1600000</v>
      </c>
      <c r="W26" s="68">
        <f t="shared" si="2"/>
        <v>0</v>
      </c>
      <c r="X26" s="65">
        <f t="shared" si="3"/>
        <v>1</v>
      </c>
      <c r="Y26" s="76" t="s">
        <v>84</v>
      </c>
      <c r="Z26" s="76"/>
      <c r="AA26" s="76"/>
      <c r="AB26" s="76"/>
      <c r="AC26" s="68">
        <f t="shared" si="4"/>
        <v>0</v>
      </c>
    </row>
    <row r="27" spans="1:29" ht="15" customHeight="1" x14ac:dyDescent="0.45">
      <c r="A27" s="55">
        <f t="shared" si="0"/>
        <v>23</v>
      </c>
      <c r="B27" s="83" t="s">
        <v>81</v>
      </c>
      <c r="C27" s="81" t="s">
        <v>82</v>
      </c>
      <c r="D27" s="81" t="s">
        <v>22</v>
      </c>
      <c r="E27" s="81" t="s">
        <v>110</v>
      </c>
      <c r="F27" s="70">
        <v>2554000</v>
      </c>
      <c r="G27" s="82"/>
      <c r="H27" s="60"/>
      <c r="I27" s="73"/>
      <c r="J27" s="82"/>
      <c r="K27" s="74"/>
      <c r="L27" s="73"/>
      <c r="M27" s="82"/>
      <c r="N27" s="74"/>
      <c r="O27" s="73"/>
      <c r="P27" s="82"/>
      <c r="Q27" s="74"/>
      <c r="R27" s="73"/>
      <c r="S27" s="61">
        <v>2554000</v>
      </c>
      <c r="T27" s="74"/>
      <c r="U27" s="73"/>
      <c r="V27" s="64">
        <f t="shared" si="1"/>
        <v>2554000</v>
      </c>
      <c r="W27" s="68">
        <f t="shared" si="2"/>
        <v>0</v>
      </c>
      <c r="X27" s="65">
        <f t="shared" si="3"/>
        <v>1</v>
      </c>
      <c r="Y27" s="76" t="s">
        <v>84</v>
      </c>
      <c r="Z27" s="76"/>
      <c r="AA27" s="76"/>
      <c r="AB27" s="76"/>
      <c r="AC27" s="68">
        <f t="shared" si="4"/>
        <v>0</v>
      </c>
    </row>
    <row r="28" spans="1:29" ht="15" customHeight="1" x14ac:dyDescent="0.45">
      <c r="A28" s="55">
        <f t="shared" si="0"/>
        <v>24</v>
      </c>
      <c r="B28" s="83" t="s">
        <v>108</v>
      </c>
      <c r="C28" s="81" t="s">
        <v>82</v>
      </c>
      <c r="D28" s="81" t="s">
        <v>22</v>
      </c>
      <c r="E28" s="81" t="s">
        <v>111</v>
      </c>
      <c r="F28" s="70">
        <v>1500000</v>
      </c>
      <c r="G28" s="82"/>
      <c r="H28" s="60"/>
      <c r="I28" s="73"/>
      <c r="J28" s="82"/>
      <c r="K28" s="74"/>
      <c r="L28" s="73"/>
      <c r="M28" s="82"/>
      <c r="N28" s="74"/>
      <c r="O28" s="73"/>
      <c r="P28" s="82"/>
      <c r="Q28" s="74"/>
      <c r="R28" s="73"/>
      <c r="S28" s="61">
        <v>1500000</v>
      </c>
      <c r="T28" s="74">
        <v>45966</v>
      </c>
      <c r="U28" s="73"/>
      <c r="V28" s="64">
        <f t="shared" si="1"/>
        <v>1500000</v>
      </c>
      <c r="W28" s="68">
        <f t="shared" si="2"/>
        <v>0</v>
      </c>
      <c r="X28" s="65">
        <f t="shared" si="3"/>
        <v>1</v>
      </c>
      <c r="Y28" s="76" t="s">
        <v>84</v>
      </c>
      <c r="Z28" s="76"/>
      <c r="AA28" s="76"/>
      <c r="AB28" s="76"/>
      <c r="AC28" s="68">
        <f t="shared" si="4"/>
        <v>0</v>
      </c>
    </row>
    <row r="29" spans="1:29" ht="15" customHeight="1" x14ac:dyDescent="0.45">
      <c r="A29" s="55">
        <f t="shared" si="0"/>
        <v>25</v>
      </c>
      <c r="B29" s="83" t="s">
        <v>81</v>
      </c>
      <c r="C29" s="81" t="s">
        <v>82</v>
      </c>
      <c r="D29" s="81" t="s">
        <v>21</v>
      </c>
      <c r="E29" s="81" t="s">
        <v>110</v>
      </c>
      <c r="F29" s="70">
        <v>3050000</v>
      </c>
      <c r="G29" s="82"/>
      <c r="H29" s="60"/>
      <c r="I29" s="73"/>
      <c r="J29" s="82"/>
      <c r="K29" s="74"/>
      <c r="L29" s="73"/>
      <c r="M29" s="82"/>
      <c r="N29" s="74"/>
      <c r="O29" s="73"/>
      <c r="P29" s="82"/>
      <c r="Q29" s="74"/>
      <c r="R29" s="73"/>
      <c r="S29" s="61">
        <v>3050000</v>
      </c>
      <c r="T29" s="74">
        <v>45708</v>
      </c>
      <c r="U29" s="73"/>
      <c r="V29" s="64">
        <f t="shared" si="1"/>
        <v>3050000</v>
      </c>
      <c r="W29" s="68">
        <f t="shared" si="2"/>
        <v>0</v>
      </c>
      <c r="X29" s="65">
        <f t="shared" si="3"/>
        <v>1</v>
      </c>
      <c r="Y29" s="76" t="s">
        <v>84</v>
      </c>
      <c r="Z29" s="76"/>
      <c r="AA29" s="76"/>
      <c r="AB29" s="76"/>
      <c r="AC29" s="68">
        <f t="shared" si="4"/>
        <v>0</v>
      </c>
    </row>
    <row r="30" spans="1:29" ht="23.25" customHeight="1" x14ac:dyDescent="0.45">
      <c r="A30" s="55">
        <f t="shared" si="0"/>
        <v>26</v>
      </c>
      <c r="B30" s="83" t="s">
        <v>98</v>
      </c>
      <c r="C30" s="81" t="s">
        <v>90</v>
      </c>
      <c r="D30" s="81" t="s">
        <v>22</v>
      </c>
      <c r="E30" s="81" t="s">
        <v>112</v>
      </c>
      <c r="F30" s="82">
        <v>40000</v>
      </c>
      <c r="G30" s="82"/>
      <c r="H30" s="74"/>
      <c r="I30" s="73"/>
      <c r="J30" s="82"/>
      <c r="K30" s="74"/>
      <c r="L30" s="73"/>
      <c r="M30" s="82"/>
      <c r="N30" s="74"/>
      <c r="O30" s="73"/>
      <c r="P30" s="82"/>
      <c r="Q30" s="74"/>
      <c r="R30" s="73"/>
      <c r="S30" s="82"/>
      <c r="T30" s="74"/>
      <c r="U30" s="73"/>
      <c r="V30" s="64">
        <f t="shared" si="1"/>
        <v>0</v>
      </c>
      <c r="W30" s="68">
        <f t="shared" si="2"/>
        <v>0</v>
      </c>
      <c r="X30" s="65">
        <f t="shared" si="3"/>
        <v>0</v>
      </c>
      <c r="Y30" s="76" t="s">
        <v>96</v>
      </c>
      <c r="Z30" s="76"/>
      <c r="AA30" s="76"/>
      <c r="AB30" s="76"/>
      <c r="AC30" s="68">
        <f t="shared" si="4"/>
        <v>40000</v>
      </c>
    </row>
    <row r="31" spans="1:29" ht="15" customHeight="1" x14ac:dyDescent="0.45">
      <c r="A31" s="55">
        <f t="shared" si="0"/>
        <v>27</v>
      </c>
      <c r="B31" s="83" t="s">
        <v>81</v>
      </c>
      <c r="C31" s="81" t="s">
        <v>82</v>
      </c>
      <c r="D31" s="81" t="s">
        <v>22</v>
      </c>
      <c r="E31" s="81" t="s">
        <v>113</v>
      </c>
      <c r="F31" s="82">
        <v>10000000</v>
      </c>
      <c r="G31" s="82"/>
      <c r="H31" s="74"/>
      <c r="I31" s="73"/>
      <c r="J31" s="82"/>
      <c r="K31" s="74"/>
      <c r="L31" s="73"/>
      <c r="M31" s="82"/>
      <c r="N31" s="74"/>
      <c r="O31" s="73"/>
      <c r="P31" s="82"/>
      <c r="Q31" s="74"/>
      <c r="R31" s="73"/>
      <c r="S31" s="82"/>
      <c r="T31" s="74"/>
      <c r="U31" s="73"/>
      <c r="V31" s="64">
        <f t="shared" si="1"/>
        <v>0</v>
      </c>
      <c r="W31" s="68">
        <f t="shared" si="2"/>
        <v>0</v>
      </c>
      <c r="X31" s="65">
        <f t="shared" si="3"/>
        <v>0</v>
      </c>
      <c r="Y31" s="76" t="s">
        <v>96</v>
      </c>
      <c r="Z31" s="76"/>
      <c r="AA31" s="76"/>
      <c r="AB31" s="76"/>
      <c r="AC31" s="68">
        <f t="shared" si="4"/>
        <v>10000000</v>
      </c>
    </row>
    <row r="32" spans="1:29" ht="15" customHeight="1" x14ac:dyDescent="0.45">
      <c r="A32" s="55">
        <f t="shared" si="0"/>
        <v>28</v>
      </c>
      <c r="B32" s="83" t="s">
        <v>114</v>
      </c>
      <c r="C32" s="81" t="s">
        <v>87</v>
      </c>
      <c r="D32" s="81" t="s">
        <v>21</v>
      </c>
      <c r="E32" s="81" t="s">
        <v>115</v>
      </c>
      <c r="F32" s="82">
        <v>24612600</v>
      </c>
      <c r="G32" s="82">
        <v>7383780</v>
      </c>
      <c r="H32" s="74">
        <v>45903</v>
      </c>
      <c r="I32" s="73"/>
      <c r="J32" s="82">
        <v>9379015</v>
      </c>
      <c r="K32" s="74"/>
      <c r="L32" s="73" t="s">
        <v>116</v>
      </c>
      <c r="M32" s="82"/>
      <c r="N32" s="74"/>
      <c r="O32" s="73"/>
      <c r="P32" s="82"/>
      <c r="Q32" s="74"/>
      <c r="R32" s="73"/>
      <c r="S32" s="82"/>
      <c r="T32" s="74"/>
      <c r="U32" s="73"/>
      <c r="V32" s="64">
        <f t="shared" si="1"/>
        <v>7383780</v>
      </c>
      <c r="W32" s="68">
        <f t="shared" si="2"/>
        <v>7849805</v>
      </c>
      <c r="X32" s="65">
        <f t="shared" si="3"/>
        <v>0.3</v>
      </c>
      <c r="Y32" s="76" t="s">
        <v>59</v>
      </c>
      <c r="Z32" s="76"/>
      <c r="AA32" s="76"/>
      <c r="AB32" s="76" t="s">
        <v>117</v>
      </c>
      <c r="AC32" s="68">
        <f t="shared" si="4"/>
        <v>9379015</v>
      </c>
    </row>
    <row r="33" spans="1:29" ht="15" customHeight="1" x14ac:dyDescent="0.45">
      <c r="A33" s="55">
        <f t="shared" si="0"/>
        <v>29</v>
      </c>
      <c r="B33" s="83" t="s">
        <v>118</v>
      </c>
      <c r="C33" s="81" t="s">
        <v>62</v>
      </c>
      <c r="D33" s="81" t="s">
        <v>21</v>
      </c>
      <c r="E33" s="81" t="s">
        <v>119</v>
      </c>
      <c r="F33" s="82">
        <v>9228000</v>
      </c>
      <c r="G33" s="82"/>
      <c r="H33" s="74"/>
      <c r="I33" s="75"/>
      <c r="J33" s="82"/>
      <c r="K33" s="74"/>
      <c r="L33" s="73"/>
      <c r="M33" s="82"/>
      <c r="N33" s="74"/>
      <c r="O33" s="73"/>
      <c r="P33" s="82"/>
      <c r="Q33" s="74"/>
      <c r="R33" s="73"/>
      <c r="S33" s="82"/>
      <c r="T33" s="84"/>
      <c r="U33" s="73"/>
      <c r="V33" s="64">
        <f t="shared" si="1"/>
        <v>0</v>
      </c>
      <c r="W33" s="68">
        <f t="shared" si="2"/>
        <v>0</v>
      </c>
      <c r="X33" s="65">
        <f t="shared" si="3"/>
        <v>0</v>
      </c>
      <c r="Y33" s="76" t="s">
        <v>105</v>
      </c>
      <c r="Z33" s="76"/>
      <c r="AA33" s="76"/>
      <c r="AB33" s="76"/>
      <c r="AC33" s="68">
        <f t="shared" si="4"/>
        <v>9228000</v>
      </c>
    </row>
    <row r="34" spans="1:29" ht="15" customHeight="1" x14ac:dyDescent="0.45">
      <c r="A34" s="55" t="str">
        <f t="shared" si="0"/>
        <v/>
      </c>
      <c r="B34" s="83"/>
      <c r="C34" s="81"/>
      <c r="D34" s="81"/>
      <c r="E34" s="81"/>
      <c r="F34" s="82"/>
      <c r="G34" s="82"/>
      <c r="H34" s="74"/>
      <c r="I34" s="73"/>
      <c r="J34" s="82"/>
      <c r="K34" s="74"/>
      <c r="L34" s="73"/>
      <c r="M34" s="82"/>
      <c r="N34" s="74"/>
      <c r="O34" s="73"/>
      <c r="P34" s="82"/>
      <c r="Q34" s="74"/>
      <c r="R34" s="73"/>
      <c r="S34" s="82"/>
      <c r="T34" s="74"/>
      <c r="U34" s="73"/>
      <c r="V34" s="64">
        <f t="shared" si="1"/>
        <v>0</v>
      </c>
      <c r="W34" s="68" t="str">
        <f t="shared" si="2"/>
        <v/>
      </c>
      <c r="X34" s="65" t="str">
        <f t="shared" si="3"/>
        <v>-</v>
      </c>
      <c r="Y34" s="76"/>
      <c r="Z34" s="76"/>
      <c r="AA34" s="76"/>
      <c r="AB34" s="76"/>
      <c r="AC34" s="68">
        <f t="shared" si="4"/>
        <v>0</v>
      </c>
    </row>
    <row r="35" spans="1:29" ht="15" customHeight="1" x14ac:dyDescent="0.45">
      <c r="A35" s="55" t="str">
        <f t="shared" si="0"/>
        <v/>
      </c>
      <c r="B35" s="83"/>
      <c r="C35" s="81"/>
      <c r="D35" s="81"/>
      <c r="E35" s="81"/>
      <c r="F35" s="82"/>
      <c r="G35" s="82"/>
      <c r="H35" s="74"/>
      <c r="I35" s="73"/>
      <c r="J35" s="82"/>
      <c r="K35" s="74"/>
      <c r="L35" s="73"/>
      <c r="M35" s="82"/>
      <c r="N35" s="74"/>
      <c r="O35" s="73"/>
      <c r="P35" s="82"/>
      <c r="Q35" s="74"/>
      <c r="R35" s="73"/>
      <c r="S35" s="82"/>
      <c r="T35" s="74"/>
      <c r="U35" s="73"/>
      <c r="V35" s="64">
        <f t="shared" si="1"/>
        <v>0</v>
      </c>
      <c r="W35" s="68" t="str">
        <f t="shared" si="2"/>
        <v/>
      </c>
      <c r="X35" s="65" t="str">
        <f t="shared" si="3"/>
        <v>-</v>
      </c>
      <c r="Y35" s="76"/>
      <c r="Z35" s="76"/>
      <c r="AA35" s="76"/>
      <c r="AB35" s="76"/>
      <c r="AC35" s="68">
        <f t="shared" si="4"/>
        <v>0</v>
      </c>
    </row>
    <row r="36" spans="1:29" ht="15" customHeight="1" x14ac:dyDescent="0.45">
      <c r="A36" s="55" t="str">
        <f t="shared" si="0"/>
        <v/>
      </c>
      <c r="B36" s="83"/>
      <c r="C36" s="81"/>
      <c r="D36" s="81"/>
      <c r="E36" s="81"/>
      <c r="F36" s="82"/>
      <c r="G36" s="82"/>
      <c r="H36" s="73"/>
      <c r="I36" s="73"/>
      <c r="J36" s="82"/>
      <c r="K36" s="73"/>
      <c r="L36" s="73"/>
      <c r="M36" s="82"/>
      <c r="N36" s="73"/>
      <c r="O36" s="73"/>
      <c r="P36" s="82"/>
      <c r="Q36" s="73"/>
      <c r="R36" s="73"/>
      <c r="S36" s="82"/>
      <c r="T36" s="73"/>
      <c r="U36" s="73"/>
      <c r="V36" s="64">
        <f t="shared" si="1"/>
        <v>0</v>
      </c>
      <c r="W36" s="68" t="str">
        <f t="shared" si="2"/>
        <v/>
      </c>
      <c r="X36" s="65" t="str">
        <f t="shared" si="3"/>
        <v>-</v>
      </c>
      <c r="Y36" s="76"/>
      <c r="Z36" s="76"/>
      <c r="AA36" s="76"/>
      <c r="AB36" s="76"/>
      <c r="AC36" s="68">
        <f t="shared" si="4"/>
        <v>0</v>
      </c>
    </row>
    <row r="37" spans="1:29" ht="15" customHeight="1" x14ac:dyDescent="0.45">
      <c r="A37" s="55" t="str">
        <f t="shared" ref="A37:A68" si="5">IF(B37="","",ROW()-4)</f>
        <v/>
      </c>
      <c r="B37" s="83"/>
      <c r="C37" s="81"/>
      <c r="D37" s="81"/>
      <c r="E37" s="81"/>
      <c r="F37" s="82"/>
      <c r="G37" s="82"/>
      <c r="H37" s="73"/>
      <c r="I37" s="73"/>
      <c r="J37" s="82"/>
      <c r="K37" s="73"/>
      <c r="L37" s="73"/>
      <c r="M37" s="82"/>
      <c r="N37" s="73"/>
      <c r="O37" s="73"/>
      <c r="P37" s="82"/>
      <c r="Q37" s="73"/>
      <c r="R37" s="73"/>
      <c r="S37" s="82"/>
      <c r="T37" s="73"/>
      <c r="U37" s="73"/>
      <c r="V37" s="64">
        <f t="shared" ref="V37:V68" si="6">IF(TRIM(Y37)="PAID",SUM(G37,J37,M37,P37,S37),IF(AND(H37&lt;&gt;"",LEN(TRIM(H37))&gt;0),G37,0)+IF(AND(K37&lt;&gt;"",LEN(TRIM(K37))&gt;0),J37,0)+IF(AND(N37&lt;&gt;"",LEN(TRIM(N37))&gt;0),M37,0)+IF(AND(Q37&lt;&gt;"",LEN(TRIM(Q37))&gt;0),P37,0)+IF(AND(T37&lt;&gt;"",LEN(TRIM(T37))&gt;0),S37,0))</f>
        <v>0</v>
      </c>
      <c r="W37" s="68" t="str">
        <f t="shared" ref="W37:W68" si="7">IF(OR(F37="",F37=0),"",MAX(0,F37-V37-AC37))</f>
        <v/>
      </c>
      <c r="X37" s="65" t="str">
        <f t="shared" ref="X37:X68" si="8">IF(OR(F37=0,F37=""),"-",V37/F37)</f>
        <v>-</v>
      </c>
      <c r="Y37" s="76"/>
      <c r="Z37" s="76"/>
      <c r="AA37" s="76"/>
      <c r="AB37" s="76"/>
      <c r="AC37" s="68">
        <f t="shared" ref="AC37:AC68" si="9">IF(TRIM(Y37)="PAID",0,IF((IF(AND(OR(H37="",LEN(TRIM(H37))=0),ISNUMBER(G37),G37&gt;0),G37,0)+IF(AND(OR(K37="",LEN(TRIM(K37))=0),ISNUMBER(J37),J37&gt;0),J37,0)+IF(AND(OR(N37="",LEN(TRIM(N37))=0),ISNUMBER(M37),M37&gt;0),M37,0)+IF(AND(OR(Q37="",LEN(TRIM(Q37))=0),ISNUMBER(P37),P37&gt;0),P37,0)+IF(AND(OR(T37="",LEN(TRIM(T37))=0),ISNUMBER(S37),S37&gt;0),S37,0))&gt;0,IF(AND(OR(H37="",LEN(TRIM(H37))=0),ISNUMBER(G37),G37&gt;0),G37,0)+IF(AND(OR(K37="",LEN(TRIM(K37))=0),ISNUMBER(J37),J37&gt;0),J37,0)+IF(AND(OR(N37="",LEN(TRIM(N37))=0),ISNUMBER(M37),M37&gt;0),M37,0)+IF(AND(OR(Q37="",LEN(TRIM(Q37))=0),ISNUMBER(P37),P37&gt;0),P37,0)+IF(AND(OR(T37="",LEN(TRIM(T37))=0),ISNUMBER(S37),S37&gt;0),S37,0),IF(OR(TRIM(Y37)="UPCOMING",TRIM(Y37)="PENDING"),MAX(0,F37-V37),0)))</f>
        <v>0</v>
      </c>
    </row>
    <row r="38" spans="1:29" ht="15" customHeight="1" x14ac:dyDescent="0.45">
      <c r="A38" s="55" t="str">
        <f t="shared" si="5"/>
        <v/>
      </c>
      <c r="B38" s="83"/>
      <c r="C38" s="81"/>
      <c r="D38" s="81"/>
      <c r="E38" s="81"/>
      <c r="F38" s="82"/>
      <c r="G38" s="82"/>
      <c r="H38" s="73"/>
      <c r="I38" s="73"/>
      <c r="J38" s="82"/>
      <c r="K38" s="73"/>
      <c r="L38" s="73"/>
      <c r="M38" s="82"/>
      <c r="N38" s="73"/>
      <c r="O38" s="73"/>
      <c r="P38" s="82"/>
      <c r="Q38" s="73"/>
      <c r="R38" s="73"/>
      <c r="S38" s="82"/>
      <c r="T38" s="73"/>
      <c r="U38" s="73"/>
      <c r="V38" s="64">
        <f t="shared" si="6"/>
        <v>0</v>
      </c>
      <c r="W38" s="68" t="str">
        <f t="shared" si="7"/>
        <v/>
      </c>
      <c r="X38" s="65" t="str">
        <f t="shared" si="8"/>
        <v>-</v>
      </c>
      <c r="Y38" s="76"/>
      <c r="Z38" s="76"/>
      <c r="AA38" s="76"/>
      <c r="AB38" s="76"/>
      <c r="AC38" s="68">
        <f t="shared" si="9"/>
        <v>0</v>
      </c>
    </row>
    <row r="39" spans="1:29" ht="15" customHeight="1" x14ac:dyDescent="0.45">
      <c r="A39" s="55" t="str">
        <f t="shared" si="5"/>
        <v/>
      </c>
      <c r="B39" s="83"/>
      <c r="C39" s="81"/>
      <c r="D39" s="81"/>
      <c r="E39" s="81"/>
      <c r="F39" s="82"/>
      <c r="G39" s="82"/>
      <c r="H39" s="73"/>
      <c r="I39" s="73"/>
      <c r="J39" s="82"/>
      <c r="K39" s="73"/>
      <c r="L39" s="73"/>
      <c r="M39" s="82"/>
      <c r="N39" s="73"/>
      <c r="O39" s="73"/>
      <c r="P39" s="82"/>
      <c r="Q39" s="73"/>
      <c r="R39" s="73"/>
      <c r="S39" s="82"/>
      <c r="T39" s="73"/>
      <c r="U39" s="73"/>
      <c r="V39" s="64">
        <f t="shared" si="6"/>
        <v>0</v>
      </c>
      <c r="W39" s="68" t="str">
        <f t="shared" si="7"/>
        <v/>
      </c>
      <c r="X39" s="65" t="str">
        <f t="shared" si="8"/>
        <v>-</v>
      </c>
      <c r="Y39" s="76"/>
      <c r="Z39" s="76"/>
      <c r="AA39" s="76"/>
      <c r="AB39" s="76"/>
      <c r="AC39" s="68">
        <f t="shared" si="9"/>
        <v>0</v>
      </c>
    </row>
    <row r="40" spans="1:29" ht="15" customHeight="1" x14ac:dyDescent="0.45">
      <c r="A40" s="55" t="str">
        <f t="shared" si="5"/>
        <v/>
      </c>
      <c r="B40" s="83"/>
      <c r="C40" s="81"/>
      <c r="D40" s="81"/>
      <c r="E40" s="81"/>
      <c r="F40" s="82"/>
      <c r="G40" s="82"/>
      <c r="H40" s="73"/>
      <c r="I40" s="73"/>
      <c r="J40" s="82"/>
      <c r="K40" s="73"/>
      <c r="L40" s="73"/>
      <c r="M40" s="82"/>
      <c r="N40" s="73"/>
      <c r="O40" s="73"/>
      <c r="P40" s="82"/>
      <c r="Q40" s="73"/>
      <c r="R40" s="73"/>
      <c r="S40" s="82"/>
      <c r="T40" s="73"/>
      <c r="U40" s="73"/>
      <c r="V40" s="64">
        <f t="shared" si="6"/>
        <v>0</v>
      </c>
      <c r="W40" s="68" t="str">
        <f t="shared" si="7"/>
        <v/>
      </c>
      <c r="X40" s="65" t="str">
        <f t="shared" si="8"/>
        <v>-</v>
      </c>
      <c r="Y40" s="76"/>
      <c r="Z40" s="76"/>
      <c r="AA40" s="76"/>
      <c r="AB40" s="76"/>
      <c r="AC40" s="68">
        <f t="shared" si="9"/>
        <v>0</v>
      </c>
    </row>
    <row r="41" spans="1:29" ht="15" customHeight="1" x14ac:dyDescent="0.45">
      <c r="A41" s="55" t="str">
        <f t="shared" si="5"/>
        <v/>
      </c>
      <c r="B41" s="83"/>
      <c r="C41" s="81"/>
      <c r="D41" s="81"/>
      <c r="E41" s="81"/>
      <c r="F41" s="82"/>
      <c r="G41" s="82"/>
      <c r="H41" s="73"/>
      <c r="I41" s="73"/>
      <c r="J41" s="82"/>
      <c r="K41" s="73"/>
      <c r="L41" s="73"/>
      <c r="M41" s="82"/>
      <c r="N41" s="73"/>
      <c r="O41" s="73"/>
      <c r="P41" s="82"/>
      <c r="Q41" s="73"/>
      <c r="R41" s="73"/>
      <c r="S41" s="82"/>
      <c r="T41" s="73"/>
      <c r="U41" s="73"/>
      <c r="V41" s="64">
        <f t="shared" si="6"/>
        <v>0</v>
      </c>
      <c r="W41" s="68" t="str">
        <f t="shared" si="7"/>
        <v/>
      </c>
      <c r="X41" s="65" t="str">
        <f t="shared" si="8"/>
        <v>-</v>
      </c>
      <c r="Y41" s="76"/>
      <c r="Z41" s="76"/>
      <c r="AA41" s="76"/>
      <c r="AB41" s="76"/>
      <c r="AC41" s="68">
        <f t="shared" si="9"/>
        <v>0</v>
      </c>
    </row>
    <row r="42" spans="1:29" ht="15" customHeight="1" x14ac:dyDescent="0.45">
      <c r="A42" s="55" t="str">
        <f t="shared" si="5"/>
        <v/>
      </c>
      <c r="B42" s="83"/>
      <c r="C42" s="81"/>
      <c r="D42" s="81"/>
      <c r="E42" s="81"/>
      <c r="F42" s="82"/>
      <c r="G42" s="82"/>
      <c r="H42" s="73"/>
      <c r="I42" s="73"/>
      <c r="J42" s="82"/>
      <c r="K42" s="73"/>
      <c r="L42" s="73"/>
      <c r="M42" s="82"/>
      <c r="N42" s="73"/>
      <c r="O42" s="73"/>
      <c r="P42" s="82"/>
      <c r="Q42" s="73"/>
      <c r="R42" s="73"/>
      <c r="S42" s="82"/>
      <c r="T42" s="73"/>
      <c r="U42" s="73"/>
      <c r="V42" s="64">
        <f t="shared" si="6"/>
        <v>0</v>
      </c>
      <c r="W42" s="68" t="str">
        <f t="shared" si="7"/>
        <v/>
      </c>
      <c r="X42" s="65" t="str">
        <f t="shared" si="8"/>
        <v>-</v>
      </c>
      <c r="Y42" s="76"/>
      <c r="Z42" s="76"/>
      <c r="AA42" s="76"/>
      <c r="AB42" s="76"/>
      <c r="AC42" s="68">
        <f t="shared" si="9"/>
        <v>0</v>
      </c>
    </row>
    <row r="43" spans="1:29" ht="15" customHeight="1" x14ac:dyDescent="0.45">
      <c r="A43" s="55" t="str">
        <f t="shared" si="5"/>
        <v/>
      </c>
      <c r="B43" s="83"/>
      <c r="C43" s="81"/>
      <c r="D43" s="81"/>
      <c r="E43" s="81"/>
      <c r="F43" s="82"/>
      <c r="G43" s="82"/>
      <c r="H43" s="73"/>
      <c r="I43" s="73"/>
      <c r="J43" s="82"/>
      <c r="K43" s="73"/>
      <c r="L43" s="73"/>
      <c r="M43" s="82"/>
      <c r="N43" s="73"/>
      <c r="O43" s="73"/>
      <c r="P43" s="82"/>
      <c r="Q43" s="73"/>
      <c r="R43" s="73"/>
      <c r="S43" s="82"/>
      <c r="T43" s="73"/>
      <c r="U43" s="73"/>
      <c r="V43" s="64">
        <f t="shared" si="6"/>
        <v>0</v>
      </c>
      <c r="W43" s="68" t="str">
        <f t="shared" si="7"/>
        <v/>
      </c>
      <c r="X43" s="65" t="str">
        <f t="shared" si="8"/>
        <v>-</v>
      </c>
      <c r="Y43" s="76"/>
      <c r="Z43" s="76"/>
      <c r="AA43" s="76"/>
      <c r="AB43" s="76"/>
      <c r="AC43" s="68">
        <f t="shared" si="9"/>
        <v>0</v>
      </c>
    </row>
    <row r="44" spans="1:29" ht="15" customHeight="1" x14ac:dyDescent="0.45">
      <c r="A44" s="55" t="str">
        <f t="shared" si="5"/>
        <v/>
      </c>
      <c r="B44" s="83"/>
      <c r="C44" s="81"/>
      <c r="D44" s="81"/>
      <c r="E44" s="81"/>
      <c r="F44" s="82"/>
      <c r="G44" s="82"/>
      <c r="H44" s="73"/>
      <c r="I44" s="73"/>
      <c r="J44" s="82"/>
      <c r="K44" s="73"/>
      <c r="L44" s="73"/>
      <c r="M44" s="82"/>
      <c r="N44" s="73"/>
      <c r="O44" s="73"/>
      <c r="P44" s="82"/>
      <c r="Q44" s="73"/>
      <c r="R44" s="73"/>
      <c r="S44" s="82"/>
      <c r="T44" s="73"/>
      <c r="U44" s="73"/>
      <c r="V44" s="64">
        <f t="shared" si="6"/>
        <v>0</v>
      </c>
      <c r="W44" s="68" t="str">
        <f t="shared" si="7"/>
        <v/>
      </c>
      <c r="X44" s="65" t="str">
        <f t="shared" si="8"/>
        <v>-</v>
      </c>
      <c r="Y44" s="76"/>
      <c r="Z44" s="76"/>
      <c r="AA44" s="76"/>
      <c r="AB44" s="76"/>
      <c r="AC44" s="68">
        <f t="shared" si="9"/>
        <v>0</v>
      </c>
    </row>
    <row r="45" spans="1:29" ht="15" customHeight="1" x14ac:dyDescent="0.45">
      <c r="A45" s="55" t="str">
        <f t="shared" si="5"/>
        <v/>
      </c>
      <c r="B45" s="83"/>
      <c r="C45" s="81"/>
      <c r="D45" s="81"/>
      <c r="E45" s="81"/>
      <c r="F45" s="82"/>
      <c r="G45" s="82"/>
      <c r="H45" s="73"/>
      <c r="I45" s="73"/>
      <c r="J45" s="82"/>
      <c r="K45" s="73"/>
      <c r="L45" s="73"/>
      <c r="M45" s="82"/>
      <c r="N45" s="73"/>
      <c r="O45" s="73"/>
      <c r="P45" s="82"/>
      <c r="Q45" s="73"/>
      <c r="R45" s="73"/>
      <c r="S45" s="82"/>
      <c r="T45" s="73"/>
      <c r="U45" s="73"/>
      <c r="V45" s="64">
        <f t="shared" si="6"/>
        <v>0</v>
      </c>
      <c r="W45" s="68" t="str">
        <f t="shared" si="7"/>
        <v/>
      </c>
      <c r="X45" s="65" t="str">
        <f t="shared" si="8"/>
        <v>-</v>
      </c>
      <c r="Y45" s="76"/>
      <c r="Z45" s="76"/>
      <c r="AA45" s="76"/>
      <c r="AB45" s="76"/>
      <c r="AC45" s="68">
        <f t="shared" si="9"/>
        <v>0</v>
      </c>
    </row>
    <row r="46" spans="1:29" ht="15" customHeight="1" x14ac:dyDescent="0.45">
      <c r="A46" s="55" t="str">
        <f t="shared" si="5"/>
        <v/>
      </c>
      <c r="B46" s="83"/>
      <c r="C46" s="81"/>
      <c r="D46" s="81"/>
      <c r="E46" s="81"/>
      <c r="F46" s="82"/>
      <c r="G46" s="82"/>
      <c r="H46" s="73"/>
      <c r="I46" s="73"/>
      <c r="J46" s="82"/>
      <c r="K46" s="73"/>
      <c r="L46" s="73"/>
      <c r="M46" s="82"/>
      <c r="N46" s="73"/>
      <c r="O46" s="73"/>
      <c r="P46" s="82"/>
      <c r="Q46" s="73"/>
      <c r="R46" s="73"/>
      <c r="S46" s="82"/>
      <c r="T46" s="73"/>
      <c r="U46" s="73"/>
      <c r="V46" s="64">
        <f t="shared" si="6"/>
        <v>0</v>
      </c>
      <c r="W46" s="68" t="str">
        <f t="shared" si="7"/>
        <v/>
      </c>
      <c r="X46" s="65" t="str">
        <f t="shared" si="8"/>
        <v>-</v>
      </c>
      <c r="Y46" s="76"/>
      <c r="Z46" s="76"/>
      <c r="AA46" s="76"/>
      <c r="AB46" s="76"/>
      <c r="AC46" s="68">
        <f t="shared" si="9"/>
        <v>0</v>
      </c>
    </row>
    <row r="47" spans="1:29" ht="15" customHeight="1" x14ac:dyDescent="0.45">
      <c r="A47" s="55" t="str">
        <f t="shared" si="5"/>
        <v/>
      </c>
      <c r="B47" s="83"/>
      <c r="C47" s="81"/>
      <c r="D47" s="81"/>
      <c r="E47" s="81"/>
      <c r="F47" s="82"/>
      <c r="G47" s="82"/>
      <c r="H47" s="73"/>
      <c r="I47" s="73"/>
      <c r="J47" s="82"/>
      <c r="K47" s="73"/>
      <c r="L47" s="73"/>
      <c r="M47" s="82"/>
      <c r="N47" s="73"/>
      <c r="O47" s="73"/>
      <c r="P47" s="82"/>
      <c r="Q47" s="73"/>
      <c r="R47" s="73"/>
      <c r="S47" s="82"/>
      <c r="T47" s="73"/>
      <c r="U47" s="73"/>
      <c r="V47" s="64">
        <f t="shared" si="6"/>
        <v>0</v>
      </c>
      <c r="W47" s="68" t="str">
        <f t="shared" si="7"/>
        <v/>
      </c>
      <c r="X47" s="65" t="str">
        <f t="shared" si="8"/>
        <v>-</v>
      </c>
      <c r="Y47" s="76"/>
      <c r="Z47" s="76"/>
      <c r="AA47" s="76"/>
      <c r="AB47" s="76"/>
      <c r="AC47" s="68">
        <f t="shared" si="9"/>
        <v>0</v>
      </c>
    </row>
    <row r="48" spans="1:29" ht="15" customHeight="1" x14ac:dyDescent="0.45">
      <c r="A48" s="55" t="str">
        <f t="shared" si="5"/>
        <v/>
      </c>
      <c r="B48" s="83"/>
      <c r="C48" s="81"/>
      <c r="D48" s="81"/>
      <c r="E48" s="81"/>
      <c r="F48" s="82"/>
      <c r="G48" s="82"/>
      <c r="H48" s="73"/>
      <c r="I48" s="73"/>
      <c r="J48" s="82"/>
      <c r="K48" s="73"/>
      <c r="L48" s="73"/>
      <c r="M48" s="82"/>
      <c r="N48" s="73"/>
      <c r="O48" s="73"/>
      <c r="P48" s="82"/>
      <c r="Q48" s="73"/>
      <c r="R48" s="73"/>
      <c r="S48" s="82"/>
      <c r="T48" s="73"/>
      <c r="U48" s="73"/>
      <c r="V48" s="64">
        <f t="shared" si="6"/>
        <v>0</v>
      </c>
      <c r="W48" s="68" t="str">
        <f t="shared" si="7"/>
        <v/>
      </c>
      <c r="X48" s="65" t="str">
        <f t="shared" si="8"/>
        <v>-</v>
      </c>
      <c r="Y48" s="76"/>
      <c r="Z48" s="76"/>
      <c r="AA48" s="76"/>
      <c r="AB48" s="76"/>
      <c r="AC48" s="68">
        <f t="shared" si="9"/>
        <v>0</v>
      </c>
    </row>
    <row r="49" spans="1:29" ht="15" customHeight="1" x14ac:dyDescent="0.45">
      <c r="A49" s="55" t="str">
        <f t="shared" si="5"/>
        <v/>
      </c>
      <c r="B49" s="83"/>
      <c r="C49" s="81"/>
      <c r="D49" s="81"/>
      <c r="E49" s="81"/>
      <c r="F49" s="82"/>
      <c r="G49" s="82"/>
      <c r="H49" s="73"/>
      <c r="I49" s="73"/>
      <c r="J49" s="82"/>
      <c r="K49" s="73"/>
      <c r="L49" s="73"/>
      <c r="M49" s="82"/>
      <c r="N49" s="73"/>
      <c r="O49" s="73"/>
      <c r="P49" s="82"/>
      <c r="Q49" s="73"/>
      <c r="R49" s="73"/>
      <c r="S49" s="82"/>
      <c r="T49" s="73"/>
      <c r="U49" s="73"/>
      <c r="V49" s="64">
        <f t="shared" si="6"/>
        <v>0</v>
      </c>
      <c r="W49" s="68" t="str">
        <f t="shared" si="7"/>
        <v/>
      </c>
      <c r="X49" s="65" t="str">
        <f t="shared" si="8"/>
        <v>-</v>
      </c>
      <c r="Y49" s="76"/>
      <c r="Z49" s="76"/>
      <c r="AA49" s="76"/>
      <c r="AB49" s="76"/>
      <c r="AC49" s="68">
        <f t="shared" si="9"/>
        <v>0</v>
      </c>
    </row>
    <row r="50" spans="1:29" ht="15" customHeight="1" x14ac:dyDescent="0.45">
      <c r="A50" s="55" t="str">
        <f t="shared" si="5"/>
        <v/>
      </c>
      <c r="B50" s="83"/>
      <c r="C50" s="81"/>
      <c r="D50" s="81"/>
      <c r="E50" s="81"/>
      <c r="F50" s="82"/>
      <c r="G50" s="82"/>
      <c r="H50" s="73"/>
      <c r="I50" s="73"/>
      <c r="J50" s="82"/>
      <c r="K50" s="73"/>
      <c r="L50" s="73"/>
      <c r="M50" s="82"/>
      <c r="N50" s="73"/>
      <c r="O50" s="73"/>
      <c r="P50" s="82"/>
      <c r="Q50" s="73"/>
      <c r="R50" s="73"/>
      <c r="S50" s="82"/>
      <c r="T50" s="73"/>
      <c r="U50" s="73"/>
      <c r="V50" s="64">
        <f t="shared" si="6"/>
        <v>0</v>
      </c>
      <c r="W50" s="68" t="str">
        <f t="shared" si="7"/>
        <v/>
      </c>
      <c r="X50" s="65" t="str">
        <f t="shared" si="8"/>
        <v>-</v>
      </c>
      <c r="Y50" s="76"/>
      <c r="Z50" s="76"/>
      <c r="AA50" s="76"/>
      <c r="AB50" s="76"/>
      <c r="AC50" s="68">
        <f t="shared" si="9"/>
        <v>0</v>
      </c>
    </row>
    <row r="51" spans="1:29" ht="15" customHeight="1" x14ac:dyDescent="0.45">
      <c r="A51" s="55" t="str">
        <f t="shared" si="5"/>
        <v/>
      </c>
      <c r="B51" s="83"/>
      <c r="C51" s="81"/>
      <c r="D51" s="81"/>
      <c r="E51" s="81"/>
      <c r="F51" s="82"/>
      <c r="G51" s="82"/>
      <c r="H51" s="73"/>
      <c r="I51" s="73"/>
      <c r="J51" s="82"/>
      <c r="K51" s="73"/>
      <c r="L51" s="73"/>
      <c r="M51" s="82"/>
      <c r="N51" s="73"/>
      <c r="O51" s="73"/>
      <c r="P51" s="82"/>
      <c r="Q51" s="73"/>
      <c r="R51" s="73"/>
      <c r="S51" s="82"/>
      <c r="T51" s="73"/>
      <c r="U51" s="73"/>
      <c r="V51" s="64">
        <f t="shared" si="6"/>
        <v>0</v>
      </c>
      <c r="W51" s="68" t="str">
        <f t="shared" si="7"/>
        <v/>
      </c>
      <c r="X51" s="65" t="str">
        <f t="shared" si="8"/>
        <v>-</v>
      </c>
      <c r="Y51" s="76"/>
      <c r="Z51" s="76"/>
      <c r="AA51" s="76"/>
      <c r="AB51" s="76"/>
      <c r="AC51" s="68">
        <f t="shared" si="9"/>
        <v>0</v>
      </c>
    </row>
    <row r="52" spans="1:29" ht="15" customHeight="1" x14ac:dyDescent="0.45">
      <c r="A52" s="55" t="str">
        <f t="shared" si="5"/>
        <v/>
      </c>
      <c r="B52" s="83"/>
      <c r="C52" s="81"/>
      <c r="D52" s="81"/>
      <c r="E52" s="81"/>
      <c r="F52" s="82"/>
      <c r="G52" s="82"/>
      <c r="H52" s="73"/>
      <c r="I52" s="73"/>
      <c r="J52" s="82"/>
      <c r="K52" s="73"/>
      <c r="L52" s="73"/>
      <c r="M52" s="82"/>
      <c r="N52" s="73"/>
      <c r="O52" s="73"/>
      <c r="P52" s="82"/>
      <c r="Q52" s="73"/>
      <c r="R52" s="73"/>
      <c r="S52" s="82"/>
      <c r="T52" s="73"/>
      <c r="U52" s="73"/>
      <c r="V52" s="64">
        <f t="shared" si="6"/>
        <v>0</v>
      </c>
      <c r="W52" s="68" t="str">
        <f t="shared" si="7"/>
        <v/>
      </c>
      <c r="X52" s="65" t="str">
        <f t="shared" si="8"/>
        <v>-</v>
      </c>
      <c r="Y52" s="76"/>
      <c r="Z52" s="76"/>
      <c r="AA52" s="76"/>
      <c r="AB52" s="76"/>
      <c r="AC52" s="68">
        <f t="shared" si="9"/>
        <v>0</v>
      </c>
    </row>
    <row r="53" spans="1:29" ht="15" customHeight="1" x14ac:dyDescent="0.45">
      <c r="A53" s="55" t="str">
        <f t="shared" si="5"/>
        <v/>
      </c>
      <c r="B53" s="83"/>
      <c r="C53" s="81"/>
      <c r="D53" s="81"/>
      <c r="E53" s="81"/>
      <c r="F53" s="82"/>
      <c r="G53" s="82"/>
      <c r="H53" s="73"/>
      <c r="I53" s="73"/>
      <c r="J53" s="82"/>
      <c r="K53" s="73"/>
      <c r="L53" s="73"/>
      <c r="M53" s="82"/>
      <c r="N53" s="73"/>
      <c r="O53" s="73"/>
      <c r="P53" s="82"/>
      <c r="Q53" s="73"/>
      <c r="R53" s="73"/>
      <c r="S53" s="82"/>
      <c r="T53" s="73"/>
      <c r="U53" s="73"/>
      <c r="V53" s="64">
        <f t="shared" si="6"/>
        <v>0</v>
      </c>
      <c r="W53" s="68" t="str">
        <f t="shared" si="7"/>
        <v/>
      </c>
      <c r="X53" s="65" t="str">
        <f t="shared" si="8"/>
        <v>-</v>
      </c>
      <c r="Y53" s="76"/>
      <c r="Z53" s="76"/>
      <c r="AA53" s="76"/>
      <c r="AB53" s="76"/>
      <c r="AC53" s="68">
        <f t="shared" si="9"/>
        <v>0</v>
      </c>
    </row>
    <row r="54" spans="1:29" ht="15" customHeight="1" x14ac:dyDescent="0.45">
      <c r="A54" s="55" t="str">
        <f t="shared" si="5"/>
        <v/>
      </c>
      <c r="B54" s="83"/>
      <c r="C54" s="81"/>
      <c r="D54" s="81"/>
      <c r="E54" s="81"/>
      <c r="F54" s="82"/>
      <c r="G54" s="82"/>
      <c r="H54" s="73"/>
      <c r="I54" s="73"/>
      <c r="J54" s="82"/>
      <c r="K54" s="73"/>
      <c r="L54" s="73"/>
      <c r="M54" s="82"/>
      <c r="N54" s="73"/>
      <c r="O54" s="73"/>
      <c r="P54" s="82"/>
      <c r="Q54" s="73"/>
      <c r="R54" s="73"/>
      <c r="S54" s="82"/>
      <c r="T54" s="73"/>
      <c r="U54" s="73"/>
      <c r="V54" s="64">
        <f t="shared" si="6"/>
        <v>0</v>
      </c>
      <c r="W54" s="68" t="str">
        <f t="shared" si="7"/>
        <v/>
      </c>
      <c r="X54" s="65" t="str">
        <f t="shared" si="8"/>
        <v>-</v>
      </c>
      <c r="Y54" s="76"/>
      <c r="Z54" s="76"/>
      <c r="AA54" s="76"/>
      <c r="AB54" s="76"/>
      <c r="AC54" s="68">
        <f t="shared" si="9"/>
        <v>0</v>
      </c>
    </row>
    <row r="55" spans="1:29" ht="15" customHeight="1" x14ac:dyDescent="0.45">
      <c r="A55" s="55" t="str">
        <f t="shared" si="5"/>
        <v/>
      </c>
      <c r="B55" s="83"/>
      <c r="C55" s="81"/>
      <c r="D55" s="81"/>
      <c r="E55" s="81"/>
      <c r="F55" s="82"/>
      <c r="G55" s="82"/>
      <c r="H55" s="73"/>
      <c r="I55" s="73"/>
      <c r="J55" s="82"/>
      <c r="K55" s="73"/>
      <c r="L55" s="73"/>
      <c r="M55" s="82"/>
      <c r="N55" s="73"/>
      <c r="O55" s="73"/>
      <c r="P55" s="82"/>
      <c r="Q55" s="73"/>
      <c r="R55" s="73"/>
      <c r="S55" s="82"/>
      <c r="T55" s="73"/>
      <c r="U55" s="73"/>
      <c r="V55" s="64">
        <f t="shared" si="6"/>
        <v>0</v>
      </c>
      <c r="W55" s="68" t="str">
        <f t="shared" si="7"/>
        <v/>
      </c>
      <c r="X55" s="65" t="str">
        <f t="shared" si="8"/>
        <v>-</v>
      </c>
      <c r="Y55" s="76"/>
      <c r="Z55" s="76"/>
      <c r="AA55" s="76"/>
      <c r="AB55" s="76"/>
      <c r="AC55" s="68">
        <f t="shared" si="9"/>
        <v>0</v>
      </c>
    </row>
    <row r="56" spans="1:29" ht="15" customHeight="1" x14ac:dyDescent="0.45">
      <c r="A56" s="55" t="str">
        <f t="shared" si="5"/>
        <v/>
      </c>
      <c r="B56" s="83"/>
      <c r="C56" s="81"/>
      <c r="D56" s="81"/>
      <c r="E56" s="81"/>
      <c r="F56" s="82"/>
      <c r="G56" s="82"/>
      <c r="H56" s="73"/>
      <c r="I56" s="73"/>
      <c r="J56" s="82"/>
      <c r="K56" s="73"/>
      <c r="L56" s="73"/>
      <c r="M56" s="82"/>
      <c r="N56" s="73"/>
      <c r="O56" s="73"/>
      <c r="P56" s="82"/>
      <c r="Q56" s="73"/>
      <c r="R56" s="73"/>
      <c r="S56" s="82"/>
      <c r="T56" s="73"/>
      <c r="U56" s="73"/>
      <c r="V56" s="64">
        <f t="shared" si="6"/>
        <v>0</v>
      </c>
      <c r="W56" s="68" t="str">
        <f t="shared" si="7"/>
        <v/>
      </c>
      <c r="X56" s="65" t="str">
        <f t="shared" si="8"/>
        <v>-</v>
      </c>
      <c r="Y56" s="76"/>
      <c r="Z56" s="76"/>
      <c r="AA56" s="76"/>
      <c r="AB56" s="76"/>
      <c r="AC56" s="68">
        <f t="shared" si="9"/>
        <v>0</v>
      </c>
    </row>
    <row r="57" spans="1:29" ht="15" customHeight="1" x14ac:dyDescent="0.45">
      <c r="A57" s="55" t="str">
        <f t="shared" si="5"/>
        <v/>
      </c>
      <c r="B57" s="81"/>
      <c r="C57" s="81"/>
      <c r="D57" s="81"/>
      <c r="E57" s="81"/>
      <c r="F57" s="82"/>
      <c r="G57" s="82"/>
      <c r="H57" s="73"/>
      <c r="I57" s="73"/>
      <c r="J57" s="82"/>
      <c r="K57" s="73"/>
      <c r="L57" s="73"/>
      <c r="M57" s="82"/>
      <c r="N57" s="73"/>
      <c r="O57" s="73"/>
      <c r="P57" s="82"/>
      <c r="Q57" s="73"/>
      <c r="R57" s="73"/>
      <c r="S57" s="82"/>
      <c r="T57" s="73"/>
      <c r="U57" s="73"/>
      <c r="V57" s="64">
        <f t="shared" si="6"/>
        <v>0</v>
      </c>
      <c r="W57" s="68" t="str">
        <f t="shared" si="7"/>
        <v/>
      </c>
      <c r="X57" s="65" t="str">
        <f t="shared" si="8"/>
        <v>-</v>
      </c>
      <c r="Y57" s="76"/>
      <c r="Z57" s="76"/>
      <c r="AA57" s="76"/>
      <c r="AB57" s="76"/>
      <c r="AC57" s="68">
        <f t="shared" si="9"/>
        <v>0</v>
      </c>
    </row>
    <row r="58" spans="1:29" ht="15" customHeight="1" x14ac:dyDescent="0.45">
      <c r="A58" s="55" t="str">
        <f t="shared" si="5"/>
        <v/>
      </c>
      <c r="B58" s="81"/>
      <c r="C58" s="81"/>
      <c r="D58" s="81"/>
      <c r="E58" s="81"/>
      <c r="F58" s="82"/>
      <c r="G58" s="82"/>
      <c r="H58" s="73"/>
      <c r="I58" s="73"/>
      <c r="J58" s="82"/>
      <c r="K58" s="73"/>
      <c r="L58" s="73"/>
      <c r="M58" s="82"/>
      <c r="N58" s="73"/>
      <c r="O58" s="73"/>
      <c r="P58" s="82"/>
      <c r="Q58" s="73"/>
      <c r="R58" s="73"/>
      <c r="S58" s="82"/>
      <c r="T58" s="73"/>
      <c r="U58" s="73"/>
      <c r="V58" s="64">
        <f t="shared" si="6"/>
        <v>0</v>
      </c>
      <c r="W58" s="68" t="str">
        <f t="shared" si="7"/>
        <v/>
      </c>
      <c r="X58" s="65" t="str">
        <f t="shared" si="8"/>
        <v>-</v>
      </c>
      <c r="Y58" s="76"/>
      <c r="Z58" s="76"/>
      <c r="AA58" s="76"/>
      <c r="AB58" s="76"/>
      <c r="AC58" s="68">
        <f t="shared" si="9"/>
        <v>0</v>
      </c>
    </row>
    <row r="59" spans="1:29" ht="15" customHeight="1" x14ac:dyDescent="0.45">
      <c r="A59" s="55" t="str">
        <f t="shared" si="5"/>
        <v/>
      </c>
      <c r="B59" s="81"/>
      <c r="C59" s="81"/>
      <c r="D59" s="81"/>
      <c r="E59" s="81"/>
      <c r="F59" s="82"/>
      <c r="G59" s="82"/>
      <c r="H59" s="73"/>
      <c r="I59" s="73"/>
      <c r="J59" s="82"/>
      <c r="K59" s="73"/>
      <c r="L59" s="73"/>
      <c r="M59" s="82"/>
      <c r="N59" s="73"/>
      <c r="O59" s="73"/>
      <c r="P59" s="82"/>
      <c r="Q59" s="73"/>
      <c r="R59" s="73"/>
      <c r="S59" s="82"/>
      <c r="T59" s="73"/>
      <c r="U59" s="73"/>
      <c r="V59" s="64">
        <f t="shared" si="6"/>
        <v>0</v>
      </c>
      <c r="W59" s="68" t="str">
        <f t="shared" si="7"/>
        <v/>
      </c>
      <c r="X59" s="65" t="str">
        <f t="shared" si="8"/>
        <v>-</v>
      </c>
      <c r="Y59" s="76"/>
      <c r="Z59" s="76"/>
      <c r="AA59" s="76"/>
      <c r="AB59" s="76"/>
      <c r="AC59" s="68">
        <f t="shared" si="9"/>
        <v>0</v>
      </c>
    </row>
    <row r="60" spans="1:29" ht="15" customHeight="1" x14ac:dyDescent="0.45">
      <c r="A60" s="55" t="str">
        <f t="shared" si="5"/>
        <v/>
      </c>
      <c r="B60" s="81"/>
      <c r="C60" s="81"/>
      <c r="D60" s="81"/>
      <c r="E60" s="81"/>
      <c r="F60" s="82"/>
      <c r="G60" s="82"/>
      <c r="H60" s="73"/>
      <c r="I60" s="73"/>
      <c r="J60" s="82"/>
      <c r="K60" s="73"/>
      <c r="L60" s="73"/>
      <c r="M60" s="82"/>
      <c r="N60" s="73"/>
      <c r="O60" s="73"/>
      <c r="P60" s="82"/>
      <c r="Q60" s="73"/>
      <c r="R60" s="73"/>
      <c r="S60" s="82"/>
      <c r="T60" s="73"/>
      <c r="U60" s="73"/>
      <c r="V60" s="64">
        <f t="shared" si="6"/>
        <v>0</v>
      </c>
      <c r="W60" s="68" t="str">
        <f t="shared" si="7"/>
        <v/>
      </c>
      <c r="X60" s="65" t="str">
        <f t="shared" si="8"/>
        <v>-</v>
      </c>
      <c r="Y60" s="76"/>
      <c r="Z60" s="76"/>
      <c r="AA60" s="76"/>
      <c r="AB60" s="76"/>
      <c r="AC60" s="68">
        <f t="shared" si="9"/>
        <v>0</v>
      </c>
    </row>
    <row r="61" spans="1:29" ht="15" customHeight="1" x14ac:dyDescent="0.45">
      <c r="A61" s="55" t="str">
        <f t="shared" si="5"/>
        <v/>
      </c>
      <c r="B61" s="81"/>
      <c r="C61" s="81"/>
      <c r="D61" s="81"/>
      <c r="E61" s="81"/>
      <c r="F61" s="82"/>
      <c r="G61" s="82"/>
      <c r="H61" s="73"/>
      <c r="I61" s="73"/>
      <c r="J61" s="82"/>
      <c r="K61" s="73"/>
      <c r="L61" s="73"/>
      <c r="M61" s="82"/>
      <c r="N61" s="73"/>
      <c r="O61" s="73"/>
      <c r="P61" s="82"/>
      <c r="Q61" s="73"/>
      <c r="R61" s="73"/>
      <c r="S61" s="82"/>
      <c r="T61" s="73"/>
      <c r="U61" s="73"/>
      <c r="V61" s="64">
        <f t="shared" si="6"/>
        <v>0</v>
      </c>
      <c r="W61" s="68" t="str">
        <f t="shared" si="7"/>
        <v/>
      </c>
      <c r="X61" s="65" t="str">
        <f t="shared" si="8"/>
        <v>-</v>
      </c>
      <c r="Y61" s="76"/>
      <c r="Z61" s="76"/>
      <c r="AA61" s="76"/>
      <c r="AB61" s="76"/>
      <c r="AC61" s="68">
        <f t="shared" si="9"/>
        <v>0</v>
      </c>
    </row>
    <row r="62" spans="1:29" ht="15" customHeight="1" x14ac:dyDescent="0.45">
      <c r="A62" s="55" t="str">
        <f t="shared" si="5"/>
        <v/>
      </c>
      <c r="B62" s="81"/>
      <c r="C62" s="81"/>
      <c r="D62" s="81"/>
      <c r="E62" s="81"/>
      <c r="F62" s="82"/>
      <c r="G62" s="82"/>
      <c r="H62" s="73"/>
      <c r="I62" s="73"/>
      <c r="J62" s="82"/>
      <c r="K62" s="73"/>
      <c r="L62" s="73"/>
      <c r="M62" s="82"/>
      <c r="N62" s="73"/>
      <c r="O62" s="73"/>
      <c r="P62" s="82"/>
      <c r="Q62" s="73"/>
      <c r="R62" s="73"/>
      <c r="S62" s="82"/>
      <c r="T62" s="73"/>
      <c r="U62" s="73"/>
      <c r="V62" s="64">
        <f t="shared" si="6"/>
        <v>0</v>
      </c>
      <c r="W62" s="68" t="str">
        <f t="shared" si="7"/>
        <v/>
      </c>
      <c r="X62" s="65" t="str">
        <f t="shared" si="8"/>
        <v>-</v>
      </c>
      <c r="Y62" s="76"/>
      <c r="Z62" s="76"/>
      <c r="AA62" s="76"/>
      <c r="AB62" s="76"/>
      <c r="AC62" s="68">
        <f t="shared" si="9"/>
        <v>0</v>
      </c>
    </row>
    <row r="63" spans="1:29" ht="15" customHeight="1" x14ac:dyDescent="0.45">
      <c r="A63" s="55" t="str">
        <f t="shared" si="5"/>
        <v/>
      </c>
      <c r="B63" s="81"/>
      <c r="C63" s="81"/>
      <c r="D63" s="81"/>
      <c r="E63" s="81"/>
      <c r="F63" s="82"/>
      <c r="G63" s="82"/>
      <c r="H63" s="73"/>
      <c r="I63" s="73"/>
      <c r="J63" s="82"/>
      <c r="K63" s="73"/>
      <c r="L63" s="73"/>
      <c r="M63" s="82"/>
      <c r="N63" s="73"/>
      <c r="O63" s="73"/>
      <c r="P63" s="82"/>
      <c r="Q63" s="73"/>
      <c r="R63" s="73"/>
      <c r="S63" s="82"/>
      <c r="T63" s="73"/>
      <c r="U63" s="73"/>
      <c r="V63" s="64">
        <f t="shared" si="6"/>
        <v>0</v>
      </c>
      <c r="W63" s="68" t="str">
        <f t="shared" si="7"/>
        <v/>
      </c>
      <c r="X63" s="65" t="str">
        <f t="shared" si="8"/>
        <v>-</v>
      </c>
      <c r="Y63" s="76"/>
      <c r="Z63" s="76"/>
      <c r="AA63" s="76"/>
      <c r="AB63" s="76"/>
      <c r="AC63" s="68">
        <f t="shared" si="9"/>
        <v>0</v>
      </c>
    </row>
    <row r="64" spans="1:29" ht="15" customHeight="1" x14ac:dyDescent="0.45">
      <c r="A64" s="55" t="str">
        <f t="shared" si="5"/>
        <v/>
      </c>
      <c r="B64" s="81"/>
      <c r="C64" s="81"/>
      <c r="D64" s="81"/>
      <c r="E64" s="81"/>
      <c r="F64" s="82"/>
      <c r="G64" s="82"/>
      <c r="H64" s="73"/>
      <c r="I64" s="73"/>
      <c r="J64" s="82"/>
      <c r="K64" s="73"/>
      <c r="L64" s="73"/>
      <c r="M64" s="82"/>
      <c r="N64" s="73"/>
      <c r="O64" s="73"/>
      <c r="P64" s="82"/>
      <c r="Q64" s="73"/>
      <c r="R64" s="73"/>
      <c r="S64" s="82"/>
      <c r="T64" s="73"/>
      <c r="U64" s="73"/>
      <c r="V64" s="64">
        <f t="shared" si="6"/>
        <v>0</v>
      </c>
      <c r="W64" s="68" t="str">
        <f t="shared" si="7"/>
        <v/>
      </c>
      <c r="X64" s="65" t="str">
        <f t="shared" si="8"/>
        <v>-</v>
      </c>
      <c r="Y64" s="76"/>
      <c r="Z64" s="76"/>
      <c r="AA64" s="76"/>
      <c r="AB64" s="76"/>
      <c r="AC64" s="68">
        <f t="shared" si="9"/>
        <v>0</v>
      </c>
    </row>
    <row r="65" spans="1:29" ht="15" customHeight="1" x14ac:dyDescent="0.45">
      <c r="A65" s="55" t="str">
        <f t="shared" si="5"/>
        <v/>
      </c>
      <c r="B65" s="81"/>
      <c r="C65" s="81"/>
      <c r="D65" s="81"/>
      <c r="E65" s="81"/>
      <c r="F65" s="82"/>
      <c r="G65" s="82"/>
      <c r="H65" s="73"/>
      <c r="I65" s="73"/>
      <c r="J65" s="82"/>
      <c r="K65" s="73"/>
      <c r="L65" s="73"/>
      <c r="M65" s="82"/>
      <c r="N65" s="73"/>
      <c r="O65" s="73"/>
      <c r="P65" s="82"/>
      <c r="Q65" s="73"/>
      <c r="R65" s="73"/>
      <c r="S65" s="82"/>
      <c r="T65" s="73"/>
      <c r="U65" s="73"/>
      <c r="V65" s="64">
        <f t="shared" si="6"/>
        <v>0</v>
      </c>
      <c r="W65" s="68" t="str">
        <f t="shared" si="7"/>
        <v/>
      </c>
      <c r="X65" s="65" t="str">
        <f t="shared" si="8"/>
        <v>-</v>
      </c>
      <c r="Y65" s="76"/>
      <c r="Z65" s="76"/>
      <c r="AA65" s="76"/>
      <c r="AB65" s="76"/>
      <c r="AC65" s="68">
        <f t="shared" si="9"/>
        <v>0</v>
      </c>
    </row>
    <row r="66" spans="1:29" ht="15" customHeight="1" x14ac:dyDescent="0.45">
      <c r="A66" s="55" t="str">
        <f t="shared" si="5"/>
        <v/>
      </c>
      <c r="B66" s="81"/>
      <c r="C66" s="81"/>
      <c r="D66" s="81"/>
      <c r="E66" s="81"/>
      <c r="F66" s="82"/>
      <c r="G66" s="82"/>
      <c r="H66" s="73"/>
      <c r="I66" s="73"/>
      <c r="J66" s="82"/>
      <c r="K66" s="73"/>
      <c r="L66" s="73"/>
      <c r="M66" s="82"/>
      <c r="N66" s="73"/>
      <c r="O66" s="73"/>
      <c r="P66" s="82"/>
      <c r="Q66" s="73"/>
      <c r="R66" s="73"/>
      <c r="S66" s="82"/>
      <c r="T66" s="73"/>
      <c r="U66" s="73"/>
      <c r="V66" s="64">
        <f t="shared" si="6"/>
        <v>0</v>
      </c>
      <c r="W66" s="68" t="str">
        <f t="shared" si="7"/>
        <v/>
      </c>
      <c r="X66" s="65" t="str">
        <f t="shared" si="8"/>
        <v>-</v>
      </c>
      <c r="Y66" s="76"/>
      <c r="Z66" s="76"/>
      <c r="AA66" s="76"/>
      <c r="AB66" s="76"/>
      <c r="AC66" s="68">
        <f t="shared" si="9"/>
        <v>0</v>
      </c>
    </row>
    <row r="67" spans="1:29" ht="15" customHeight="1" x14ac:dyDescent="0.45">
      <c r="A67" s="55" t="str">
        <f t="shared" si="5"/>
        <v/>
      </c>
      <c r="B67" s="81"/>
      <c r="C67" s="81"/>
      <c r="D67" s="81"/>
      <c r="E67" s="81"/>
      <c r="F67" s="82"/>
      <c r="G67" s="82"/>
      <c r="H67" s="73"/>
      <c r="I67" s="73"/>
      <c r="J67" s="82"/>
      <c r="K67" s="73"/>
      <c r="L67" s="73"/>
      <c r="M67" s="82"/>
      <c r="N67" s="73"/>
      <c r="O67" s="73"/>
      <c r="P67" s="82"/>
      <c r="Q67" s="73"/>
      <c r="R67" s="73"/>
      <c r="S67" s="82"/>
      <c r="T67" s="73"/>
      <c r="U67" s="73"/>
      <c r="V67" s="64">
        <f t="shared" si="6"/>
        <v>0</v>
      </c>
      <c r="W67" s="68" t="str">
        <f t="shared" si="7"/>
        <v/>
      </c>
      <c r="X67" s="65" t="str">
        <f t="shared" si="8"/>
        <v>-</v>
      </c>
      <c r="Y67" s="76"/>
      <c r="Z67" s="76"/>
      <c r="AA67" s="76"/>
      <c r="AB67" s="76"/>
      <c r="AC67" s="68">
        <f t="shared" si="9"/>
        <v>0</v>
      </c>
    </row>
    <row r="68" spans="1:29" ht="15" customHeight="1" x14ac:dyDescent="0.45">
      <c r="A68" s="55" t="str">
        <f t="shared" si="5"/>
        <v/>
      </c>
      <c r="B68" s="81"/>
      <c r="C68" s="81"/>
      <c r="D68" s="81"/>
      <c r="E68" s="81"/>
      <c r="F68" s="82"/>
      <c r="G68" s="82"/>
      <c r="H68" s="73"/>
      <c r="I68" s="73"/>
      <c r="J68" s="82"/>
      <c r="K68" s="73"/>
      <c r="L68" s="73"/>
      <c r="M68" s="82"/>
      <c r="N68" s="73"/>
      <c r="O68" s="73"/>
      <c r="P68" s="82"/>
      <c r="Q68" s="73"/>
      <c r="R68" s="73"/>
      <c r="S68" s="82"/>
      <c r="T68" s="73"/>
      <c r="U68" s="73"/>
      <c r="V68" s="64">
        <f t="shared" si="6"/>
        <v>0</v>
      </c>
      <c r="W68" s="68" t="str">
        <f t="shared" si="7"/>
        <v/>
      </c>
      <c r="X68" s="65" t="str">
        <f t="shared" si="8"/>
        <v>-</v>
      </c>
      <c r="Y68" s="76"/>
      <c r="Z68" s="76"/>
      <c r="AA68" s="76"/>
      <c r="AB68" s="76"/>
      <c r="AC68" s="68">
        <f t="shared" si="9"/>
        <v>0</v>
      </c>
    </row>
    <row r="69" spans="1:29" ht="15" customHeight="1" x14ac:dyDescent="0.45">
      <c r="A69" s="85" t="str">
        <f t="shared" ref="A69:A100" si="10">IF(B69="","",ROW()-4)</f>
        <v/>
      </c>
      <c r="B69" s="86"/>
      <c r="C69" s="87"/>
      <c r="D69" s="87"/>
      <c r="E69" s="87"/>
      <c r="F69" s="88"/>
      <c r="G69" s="88"/>
      <c r="H69" s="89"/>
      <c r="I69" s="89"/>
      <c r="J69" s="88"/>
      <c r="K69" s="89"/>
      <c r="L69" s="89"/>
      <c r="M69" s="88"/>
      <c r="N69" s="89"/>
      <c r="O69" s="89"/>
      <c r="P69" s="88"/>
      <c r="Q69" s="89"/>
      <c r="R69" s="89"/>
      <c r="S69" s="89"/>
      <c r="T69" s="89"/>
      <c r="U69" s="89"/>
      <c r="V69" s="68">
        <f t="shared" ref="V69:V102" si="11">IF(TRIM(Y69)="PAID",SUM(G69,J69,M69,P69,S69),IF(AND(H69&lt;&gt;"",LEN(TRIM(H69))&gt;0),G69,0)+IF(AND(K69&lt;&gt;"",LEN(TRIM(K69))&gt;0),J69,0)+IF(AND(N69&lt;&gt;"",LEN(TRIM(N69))&gt;0),M69,0)+IF(AND(Q69&lt;&gt;"",LEN(TRIM(Q69))&gt;0),P69,0)+IF(AND(T69&lt;&gt;"",LEN(TRIM(T69))&gt;0),S69,0))</f>
        <v>0</v>
      </c>
      <c r="W69" s="68" t="str">
        <f t="shared" ref="W69:W100" si="12">IF(OR(F69="",F69=0),"",MAX(0,F69-V69-AC69))</f>
        <v/>
      </c>
      <c r="X69" s="90" t="str">
        <f t="shared" ref="X69:X102" si="13">IF(OR(F69=0,F69=""),"-",V69/F69)</f>
        <v>-</v>
      </c>
      <c r="Y69" s="91"/>
      <c r="Z69" s="91"/>
      <c r="AA69" s="91"/>
      <c r="AB69" s="91"/>
      <c r="AC69" s="68">
        <f t="shared" ref="AC69:AC102" si="14">IF(TRIM(Y69)="PAID",0,IF((IF(AND(OR(H69="",LEN(TRIM(H69))=0),ISNUMBER(G69),G69&gt;0),G69,0)+IF(AND(OR(K69="",LEN(TRIM(K69))=0),ISNUMBER(J69),J69&gt;0),J69,0)+IF(AND(OR(N69="",LEN(TRIM(N69))=0),ISNUMBER(M69),M69&gt;0),M69,0)+IF(AND(OR(Q69="",LEN(TRIM(Q69))=0),ISNUMBER(P69),P69&gt;0),P69,0)+IF(AND(OR(T69="",LEN(TRIM(T69))=0),ISNUMBER(S69),S69&gt;0),S69,0))&gt;0,IF(AND(OR(H69="",LEN(TRIM(H69))=0),ISNUMBER(G69),G69&gt;0),G69,0)+IF(AND(OR(K69="",LEN(TRIM(K69))=0),ISNUMBER(J69),J69&gt;0),J69,0)+IF(AND(OR(N69="",LEN(TRIM(N69))=0),ISNUMBER(M69),M69&gt;0),M69,0)+IF(AND(OR(Q69="",LEN(TRIM(Q69))=0),ISNUMBER(P69),P69&gt;0),P69,0)+IF(AND(OR(T69="",LEN(TRIM(T69))=0),ISNUMBER(S69),S69&gt;0),S69,0),IF(OR(TRIM(Y69)="UPCOMING",TRIM(Y69)="PENDING"),MAX(0,F69-V69),0)))</f>
        <v>0</v>
      </c>
    </row>
    <row r="70" spans="1:29" ht="15" customHeight="1" x14ac:dyDescent="0.45">
      <c r="A70" s="55" t="str">
        <f t="shared" si="10"/>
        <v/>
      </c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68">
        <f t="shared" si="11"/>
        <v>0</v>
      </c>
      <c r="W70" s="68" t="str">
        <f t="shared" si="12"/>
        <v/>
      </c>
      <c r="X70" s="90" t="str">
        <f t="shared" si="13"/>
        <v>-</v>
      </c>
      <c r="Y70" s="73"/>
      <c r="Z70" s="73"/>
      <c r="AA70" s="73"/>
      <c r="AB70" s="73"/>
      <c r="AC70" s="68">
        <f t="shared" si="14"/>
        <v>0</v>
      </c>
    </row>
    <row r="71" spans="1:29" ht="15" customHeight="1" x14ac:dyDescent="0.45">
      <c r="A71" s="55" t="str">
        <f t="shared" si="10"/>
        <v/>
      </c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68">
        <f t="shared" si="11"/>
        <v>0</v>
      </c>
      <c r="W71" s="68" t="str">
        <f t="shared" si="12"/>
        <v/>
      </c>
      <c r="X71" s="90" t="str">
        <f t="shared" si="13"/>
        <v>-</v>
      </c>
      <c r="Y71" s="73"/>
      <c r="Z71" s="73"/>
      <c r="AA71" s="73"/>
      <c r="AB71" s="73"/>
      <c r="AC71" s="68">
        <f t="shared" si="14"/>
        <v>0</v>
      </c>
    </row>
    <row r="72" spans="1:29" ht="15" customHeight="1" x14ac:dyDescent="0.45">
      <c r="A72" s="55" t="str">
        <f t="shared" si="10"/>
        <v/>
      </c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68">
        <f t="shared" si="11"/>
        <v>0</v>
      </c>
      <c r="W72" s="68" t="str">
        <f t="shared" si="12"/>
        <v/>
      </c>
      <c r="X72" s="90" t="str">
        <f t="shared" si="13"/>
        <v>-</v>
      </c>
      <c r="Y72" s="73"/>
      <c r="Z72" s="73"/>
      <c r="AA72" s="73"/>
      <c r="AB72" s="73"/>
      <c r="AC72" s="68">
        <f t="shared" si="14"/>
        <v>0</v>
      </c>
    </row>
    <row r="73" spans="1:29" ht="15" customHeight="1" x14ac:dyDescent="0.45">
      <c r="A73" s="55" t="str">
        <f t="shared" si="10"/>
        <v/>
      </c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68">
        <f t="shared" si="11"/>
        <v>0</v>
      </c>
      <c r="W73" s="68" t="str">
        <f t="shared" si="12"/>
        <v/>
      </c>
      <c r="X73" s="90" t="str">
        <f t="shared" si="13"/>
        <v>-</v>
      </c>
      <c r="Y73" s="73"/>
      <c r="Z73" s="73"/>
      <c r="AA73" s="73"/>
      <c r="AB73" s="73"/>
      <c r="AC73" s="68">
        <f t="shared" si="14"/>
        <v>0</v>
      </c>
    </row>
    <row r="74" spans="1:29" ht="15" customHeight="1" x14ac:dyDescent="0.45">
      <c r="A74" s="55" t="str">
        <f t="shared" si="10"/>
        <v/>
      </c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68">
        <f t="shared" si="11"/>
        <v>0</v>
      </c>
      <c r="W74" s="68" t="str">
        <f t="shared" si="12"/>
        <v/>
      </c>
      <c r="X74" s="90" t="str">
        <f t="shared" si="13"/>
        <v>-</v>
      </c>
      <c r="Y74" s="73"/>
      <c r="Z74" s="73"/>
      <c r="AA74" s="73"/>
      <c r="AB74" s="73"/>
      <c r="AC74" s="68">
        <f t="shared" si="14"/>
        <v>0</v>
      </c>
    </row>
    <row r="75" spans="1:29" ht="15" customHeight="1" x14ac:dyDescent="0.45">
      <c r="A75" s="55" t="str">
        <f t="shared" si="10"/>
        <v/>
      </c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68">
        <f t="shared" si="11"/>
        <v>0</v>
      </c>
      <c r="W75" s="68" t="str">
        <f t="shared" si="12"/>
        <v/>
      </c>
      <c r="X75" s="90" t="str">
        <f t="shared" si="13"/>
        <v>-</v>
      </c>
      <c r="Y75" s="73"/>
      <c r="Z75" s="73"/>
      <c r="AA75" s="73"/>
      <c r="AB75" s="73"/>
      <c r="AC75" s="68">
        <f t="shared" si="14"/>
        <v>0</v>
      </c>
    </row>
    <row r="76" spans="1:29" ht="15" customHeight="1" x14ac:dyDescent="0.45">
      <c r="A76" s="55" t="str">
        <f t="shared" si="10"/>
        <v/>
      </c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68">
        <f t="shared" si="11"/>
        <v>0</v>
      </c>
      <c r="W76" s="68" t="str">
        <f t="shared" si="12"/>
        <v/>
      </c>
      <c r="X76" s="90" t="str">
        <f t="shared" si="13"/>
        <v>-</v>
      </c>
      <c r="Y76" s="73"/>
      <c r="Z76" s="73"/>
      <c r="AA76" s="73"/>
      <c r="AB76" s="73"/>
      <c r="AC76" s="68">
        <f t="shared" si="14"/>
        <v>0</v>
      </c>
    </row>
    <row r="77" spans="1:29" ht="15" customHeight="1" x14ac:dyDescent="0.45">
      <c r="A77" s="55" t="str">
        <f t="shared" si="10"/>
        <v/>
      </c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68">
        <f t="shared" si="11"/>
        <v>0</v>
      </c>
      <c r="W77" s="68" t="str">
        <f t="shared" si="12"/>
        <v/>
      </c>
      <c r="X77" s="90" t="str">
        <f t="shared" si="13"/>
        <v>-</v>
      </c>
      <c r="Y77" s="73"/>
      <c r="Z77" s="73"/>
      <c r="AA77" s="73"/>
      <c r="AB77" s="73"/>
      <c r="AC77" s="68">
        <f t="shared" si="14"/>
        <v>0</v>
      </c>
    </row>
    <row r="78" spans="1:29" ht="15" customHeight="1" x14ac:dyDescent="0.45">
      <c r="A78" s="55" t="str">
        <f t="shared" si="10"/>
        <v/>
      </c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68">
        <f t="shared" si="11"/>
        <v>0</v>
      </c>
      <c r="W78" s="68" t="str">
        <f t="shared" si="12"/>
        <v/>
      </c>
      <c r="X78" s="90" t="str">
        <f t="shared" si="13"/>
        <v>-</v>
      </c>
      <c r="Y78" s="73"/>
      <c r="Z78" s="73"/>
      <c r="AA78" s="73"/>
      <c r="AB78" s="73"/>
      <c r="AC78" s="68">
        <f t="shared" si="14"/>
        <v>0</v>
      </c>
    </row>
    <row r="79" spans="1:29" ht="15" customHeight="1" x14ac:dyDescent="0.45">
      <c r="A79" s="55" t="str">
        <f t="shared" si="10"/>
        <v/>
      </c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68">
        <f t="shared" si="11"/>
        <v>0</v>
      </c>
      <c r="W79" s="68" t="str">
        <f t="shared" si="12"/>
        <v/>
      </c>
      <c r="X79" s="90" t="str">
        <f t="shared" si="13"/>
        <v>-</v>
      </c>
      <c r="Y79" s="73"/>
      <c r="Z79" s="73"/>
      <c r="AA79" s="73"/>
      <c r="AB79" s="73"/>
      <c r="AC79" s="68">
        <f t="shared" si="14"/>
        <v>0</v>
      </c>
    </row>
    <row r="80" spans="1:29" ht="15" customHeight="1" x14ac:dyDescent="0.45">
      <c r="A80" s="55" t="str">
        <f t="shared" si="10"/>
        <v/>
      </c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68">
        <f t="shared" si="11"/>
        <v>0</v>
      </c>
      <c r="W80" s="68" t="str">
        <f t="shared" si="12"/>
        <v/>
      </c>
      <c r="X80" s="90" t="str">
        <f t="shared" si="13"/>
        <v>-</v>
      </c>
      <c r="Y80" s="73"/>
      <c r="Z80" s="73"/>
      <c r="AA80" s="73"/>
      <c r="AB80" s="73"/>
      <c r="AC80" s="68">
        <f t="shared" si="14"/>
        <v>0</v>
      </c>
    </row>
    <row r="81" spans="1:29" ht="15" customHeight="1" x14ac:dyDescent="0.45">
      <c r="A81" s="55" t="str">
        <f t="shared" si="10"/>
        <v/>
      </c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68">
        <f t="shared" si="11"/>
        <v>0</v>
      </c>
      <c r="W81" s="68" t="str">
        <f t="shared" si="12"/>
        <v/>
      </c>
      <c r="X81" s="90" t="str">
        <f t="shared" si="13"/>
        <v>-</v>
      </c>
      <c r="Y81" s="73"/>
      <c r="Z81" s="73"/>
      <c r="AA81" s="73"/>
      <c r="AB81" s="73"/>
      <c r="AC81" s="68">
        <f t="shared" si="14"/>
        <v>0</v>
      </c>
    </row>
    <row r="82" spans="1:29" ht="15" customHeight="1" x14ac:dyDescent="0.45">
      <c r="A82" s="55" t="str">
        <f t="shared" si="10"/>
        <v/>
      </c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68">
        <f t="shared" si="11"/>
        <v>0</v>
      </c>
      <c r="W82" s="68" t="str">
        <f t="shared" si="12"/>
        <v/>
      </c>
      <c r="X82" s="90" t="str">
        <f t="shared" si="13"/>
        <v>-</v>
      </c>
      <c r="Y82" s="73"/>
      <c r="Z82" s="73"/>
      <c r="AA82" s="73"/>
      <c r="AB82" s="73"/>
      <c r="AC82" s="68">
        <f t="shared" si="14"/>
        <v>0</v>
      </c>
    </row>
    <row r="83" spans="1:29" ht="15" customHeight="1" x14ac:dyDescent="0.45">
      <c r="A83" s="55" t="str">
        <f t="shared" si="10"/>
        <v/>
      </c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68">
        <f t="shared" si="11"/>
        <v>0</v>
      </c>
      <c r="W83" s="68" t="str">
        <f t="shared" si="12"/>
        <v/>
      </c>
      <c r="X83" s="90" t="str">
        <f t="shared" si="13"/>
        <v>-</v>
      </c>
      <c r="Y83" s="73"/>
      <c r="Z83" s="73"/>
      <c r="AA83" s="73"/>
      <c r="AB83" s="73"/>
      <c r="AC83" s="68">
        <f t="shared" si="14"/>
        <v>0</v>
      </c>
    </row>
    <row r="84" spans="1:29" ht="15" customHeight="1" x14ac:dyDescent="0.45">
      <c r="A84" s="55" t="str">
        <f t="shared" si="10"/>
        <v/>
      </c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68">
        <f t="shared" si="11"/>
        <v>0</v>
      </c>
      <c r="W84" s="68" t="str">
        <f t="shared" si="12"/>
        <v/>
      </c>
      <c r="X84" s="90" t="str">
        <f t="shared" si="13"/>
        <v>-</v>
      </c>
      <c r="Y84" s="73"/>
      <c r="Z84" s="73"/>
      <c r="AA84" s="73"/>
      <c r="AB84" s="73"/>
      <c r="AC84" s="68">
        <f t="shared" si="14"/>
        <v>0</v>
      </c>
    </row>
    <row r="85" spans="1:29" ht="15" customHeight="1" x14ac:dyDescent="0.45">
      <c r="A85" s="55" t="str">
        <f t="shared" si="10"/>
        <v/>
      </c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68">
        <f t="shared" si="11"/>
        <v>0</v>
      </c>
      <c r="W85" s="68" t="str">
        <f t="shared" si="12"/>
        <v/>
      </c>
      <c r="X85" s="90" t="str">
        <f t="shared" si="13"/>
        <v>-</v>
      </c>
      <c r="Y85" s="73"/>
      <c r="Z85" s="73"/>
      <c r="AA85" s="73"/>
      <c r="AB85" s="73"/>
      <c r="AC85" s="68">
        <f t="shared" si="14"/>
        <v>0</v>
      </c>
    </row>
    <row r="86" spans="1:29" ht="15" customHeight="1" x14ac:dyDescent="0.45">
      <c r="A86" s="55" t="str">
        <f t="shared" si="10"/>
        <v/>
      </c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68">
        <f t="shared" si="11"/>
        <v>0</v>
      </c>
      <c r="W86" s="68" t="str">
        <f t="shared" si="12"/>
        <v/>
      </c>
      <c r="X86" s="90" t="str">
        <f t="shared" si="13"/>
        <v>-</v>
      </c>
      <c r="Y86" s="73"/>
      <c r="Z86" s="73"/>
      <c r="AA86" s="73"/>
      <c r="AB86" s="73"/>
      <c r="AC86" s="68">
        <f t="shared" si="14"/>
        <v>0</v>
      </c>
    </row>
    <row r="87" spans="1:29" ht="15" customHeight="1" x14ac:dyDescent="0.45">
      <c r="A87" s="55" t="str">
        <f t="shared" si="10"/>
        <v/>
      </c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68">
        <f t="shared" si="11"/>
        <v>0</v>
      </c>
      <c r="W87" s="68" t="str">
        <f t="shared" si="12"/>
        <v/>
      </c>
      <c r="X87" s="90" t="str">
        <f t="shared" si="13"/>
        <v>-</v>
      </c>
      <c r="Y87" s="73"/>
      <c r="Z87" s="73"/>
      <c r="AA87" s="73"/>
      <c r="AB87" s="73"/>
      <c r="AC87" s="68">
        <f t="shared" si="14"/>
        <v>0</v>
      </c>
    </row>
    <row r="88" spans="1:29" ht="15" customHeight="1" x14ac:dyDescent="0.45">
      <c r="A88" s="55" t="str">
        <f t="shared" si="10"/>
        <v/>
      </c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68">
        <f t="shared" si="11"/>
        <v>0</v>
      </c>
      <c r="W88" s="68" t="str">
        <f t="shared" si="12"/>
        <v/>
      </c>
      <c r="X88" s="90" t="str">
        <f t="shared" si="13"/>
        <v>-</v>
      </c>
      <c r="Y88" s="73"/>
      <c r="Z88" s="73"/>
      <c r="AA88" s="73"/>
      <c r="AB88" s="73"/>
      <c r="AC88" s="68">
        <f t="shared" si="14"/>
        <v>0</v>
      </c>
    </row>
    <row r="89" spans="1:29" ht="15" customHeight="1" x14ac:dyDescent="0.45">
      <c r="A89" s="55" t="str">
        <f t="shared" si="10"/>
        <v/>
      </c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68">
        <f t="shared" si="11"/>
        <v>0</v>
      </c>
      <c r="W89" s="68" t="str">
        <f t="shared" si="12"/>
        <v/>
      </c>
      <c r="X89" s="90" t="str">
        <f t="shared" si="13"/>
        <v>-</v>
      </c>
      <c r="Y89" s="73"/>
      <c r="Z89" s="73"/>
      <c r="AA89" s="73"/>
      <c r="AB89" s="73"/>
      <c r="AC89" s="68">
        <f t="shared" si="14"/>
        <v>0</v>
      </c>
    </row>
    <row r="90" spans="1:29" ht="15" customHeight="1" x14ac:dyDescent="0.45">
      <c r="A90" s="55" t="str">
        <f t="shared" si="10"/>
        <v/>
      </c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68">
        <f t="shared" si="11"/>
        <v>0</v>
      </c>
      <c r="W90" s="68" t="str">
        <f t="shared" si="12"/>
        <v/>
      </c>
      <c r="X90" s="90" t="str">
        <f t="shared" si="13"/>
        <v>-</v>
      </c>
      <c r="Y90" s="73"/>
      <c r="Z90" s="73"/>
      <c r="AA90" s="73"/>
      <c r="AB90" s="73"/>
      <c r="AC90" s="68">
        <f t="shared" si="14"/>
        <v>0</v>
      </c>
    </row>
    <row r="91" spans="1:29" ht="15" customHeight="1" x14ac:dyDescent="0.45">
      <c r="A91" s="55" t="str">
        <f t="shared" si="10"/>
        <v/>
      </c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68">
        <f t="shared" si="11"/>
        <v>0</v>
      </c>
      <c r="W91" s="68" t="str">
        <f t="shared" si="12"/>
        <v/>
      </c>
      <c r="X91" s="90" t="str">
        <f t="shared" si="13"/>
        <v>-</v>
      </c>
      <c r="Y91" s="73"/>
      <c r="Z91" s="73"/>
      <c r="AA91" s="73"/>
      <c r="AB91" s="73"/>
      <c r="AC91" s="68">
        <f t="shared" si="14"/>
        <v>0</v>
      </c>
    </row>
    <row r="92" spans="1:29" ht="15" customHeight="1" x14ac:dyDescent="0.45">
      <c r="A92" s="55" t="str">
        <f t="shared" si="10"/>
        <v/>
      </c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68">
        <f t="shared" si="11"/>
        <v>0</v>
      </c>
      <c r="W92" s="68" t="str">
        <f t="shared" si="12"/>
        <v/>
      </c>
      <c r="X92" s="90" t="str">
        <f t="shared" si="13"/>
        <v>-</v>
      </c>
      <c r="Y92" s="73"/>
      <c r="Z92" s="73"/>
      <c r="AA92" s="73"/>
      <c r="AB92" s="73"/>
      <c r="AC92" s="68">
        <f t="shared" si="14"/>
        <v>0</v>
      </c>
    </row>
    <row r="93" spans="1:29" ht="15" customHeight="1" x14ac:dyDescent="0.45">
      <c r="A93" s="55" t="str">
        <f t="shared" si="10"/>
        <v/>
      </c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68">
        <f t="shared" si="11"/>
        <v>0</v>
      </c>
      <c r="W93" s="68" t="str">
        <f t="shared" si="12"/>
        <v/>
      </c>
      <c r="X93" s="90" t="str">
        <f t="shared" si="13"/>
        <v>-</v>
      </c>
      <c r="Y93" s="73"/>
      <c r="Z93" s="73"/>
      <c r="AA93" s="73"/>
      <c r="AB93" s="73"/>
      <c r="AC93" s="68">
        <f t="shared" si="14"/>
        <v>0</v>
      </c>
    </row>
    <row r="94" spans="1:29" ht="15" customHeight="1" x14ac:dyDescent="0.45">
      <c r="A94" s="55" t="str">
        <f t="shared" si="10"/>
        <v/>
      </c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68">
        <f t="shared" si="11"/>
        <v>0</v>
      </c>
      <c r="W94" s="68" t="str">
        <f t="shared" si="12"/>
        <v/>
      </c>
      <c r="X94" s="90" t="str">
        <f t="shared" si="13"/>
        <v>-</v>
      </c>
      <c r="Y94" s="73"/>
      <c r="Z94" s="73"/>
      <c r="AA94" s="73"/>
      <c r="AB94" s="73"/>
      <c r="AC94" s="68">
        <f t="shared" si="14"/>
        <v>0</v>
      </c>
    </row>
    <row r="95" spans="1:29" ht="15" customHeight="1" x14ac:dyDescent="0.45">
      <c r="A95" s="55" t="str">
        <f t="shared" si="10"/>
        <v/>
      </c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68">
        <f t="shared" si="11"/>
        <v>0</v>
      </c>
      <c r="W95" s="68" t="str">
        <f t="shared" si="12"/>
        <v/>
      </c>
      <c r="X95" s="90" t="str">
        <f t="shared" si="13"/>
        <v>-</v>
      </c>
      <c r="Y95" s="73"/>
      <c r="Z95" s="73"/>
      <c r="AA95" s="73"/>
      <c r="AB95" s="73"/>
      <c r="AC95" s="68">
        <f t="shared" si="14"/>
        <v>0</v>
      </c>
    </row>
    <row r="96" spans="1:29" ht="15" customHeight="1" x14ac:dyDescent="0.45">
      <c r="A96" s="55" t="str">
        <f t="shared" si="10"/>
        <v/>
      </c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68">
        <f t="shared" si="11"/>
        <v>0</v>
      </c>
      <c r="W96" s="68" t="str">
        <f t="shared" si="12"/>
        <v/>
      </c>
      <c r="X96" s="90" t="str">
        <f t="shared" si="13"/>
        <v>-</v>
      </c>
      <c r="Y96" s="73"/>
      <c r="Z96" s="73"/>
      <c r="AA96" s="73"/>
      <c r="AB96" s="73"/>
      <c r="AC96" s="68">
        <f t="shared" si="14"/>
        <v>0</v>
      </c>
    </row>
    <row r="97" spans="1:29" ht="15" customHeight="1" x14ac:dyDescent="0.45">
      <c r="A97" s="55" t="str">
        <f t="shared" si="10"/>
        <v/>
      </c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68">
        <f t="shared" si="11"/>
        <v>0</v>
      </c>
      <c r="W97" s="68" t="str">
        <f t="shared" si="12"/>
        <v/>
      </c>
      <c r="X97" s="90" t="str">
        <f t="shared" si="13"/>
        <v>-</v>
      </c>
      <c r="Y97" s="73"/>
      <c r="Z97" s="73"/>
      <c r="AA97" s="73"/>
      <c r="AB97" s="73"/>
      <c r="AC97" s="68">
        <f t="shared" si="14"/>
        <v>0</v>
      </c>
    </row>
    <row r="98" spans="1:29" ht="15" customHeight="1" x14ac:dyDescent="0.45">
      <c r="A98" s="55" t="str">
        <f t="shared" si="10"/>
        <v/>
      </c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68">
        <f t="shared" si="11"/>
        <v>0</v>
      </c>
      <c r="W98" s="68" t="str">
        <f t="shared" si="12"/>
        <v/>
      </c>
      <c r="X98" s="90" t="str">
        <f t="shared" si="13"/>
        <v>-</v>
      </c>
      <c r="Y98" s="73"/>
      <c r="Z98" s="73"/>
      <c r="AA98" s="73"/>
      <c r="AB98" s="73"/>
      <c r="AC98" s="68">
        <f t="shared" si="14"/>
        <v>0</v>
      </c>
    </row>
    <row r="99" spans="1:29" ht="15" customHeight="1" x14ac:dyDescent="0.45">
      <c r="A99" s="55" t="str">
        <f t="shared" si="10"/>
        <v/>
      </c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68">
        <f t="shared" si="11"/>
        <v>0</v>
      </c>
      <c r="W99" s="68" t="str">
        <f t="shared" si="12"/>
        <v/>
      </c>
      <c r="X99" s="90" t="str">
        <f t="shared" si="13"/>
        <v>-</v>
      </c>
      <c r="Y99" s="73"/>
      <c r="Z99" s="73"/>
      <c r="AA99" s="73"/>
      <c r="AB99" s="73"/>
      <c r="AC99" s="68">
        <f t="shared" si="14"/>
        <v>0</v>
      </c>
    </row>
    <row r="100" spans="1:29" ht="15" customHeight="1" x14ac:dyDescent="0.45">
      <c r="A100" s="55" t="str">
        <f t="shared" si="10"/>
        <v/>
      </c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68">
        <f t="shared" si="11"/>
        <v>0</v>
      </c>
      <c r="W100" s="68" t="str">
        <f t="shared" si="12"/>
        <v/>
      </c>
      <c r="X100" s="90" t="str">
        <f t="shared" si="13"/>
        <v>-</v>
      </c>
      <c r="Y100" s="73"/>
      <c r="Z100" s="73"/>
      <c r="AA100" s="73"/>
      <c r="AB100" s="73"/>
      <c r="AC100" s="68">
        <f t="shared" si="14"/>
        <v>0</v>
      </c>
    </row>
    <row r="101" spans="1:29" ht="15" customHeight="1" x14ac:dyDescent="0.45">
      <c r="A101" s="55" t="str">
        <f t="shared" ref="A101:A102" si="15">IF(B101="","",ROW()-4)</f>
        <v/>
      </c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68">
        <f t="shared" si="11"/>
        <v>0</v>
      </c>
      <c r="W101" s="68" t="str">
        <f t="shared" ref="W101:W102" si="16">IF(OR(F101="",F101=0),"",MAX(0,F101-V101-AC101))</f>
        <v/>
      </c>
      <c r="X101" s="90" t="str">
        <f t="shared" si="13"/>
        <v>-</v>
      </c>
      <c r="Y101" s="73"/>
      <c r="Z101" s="73"/>
      <c r="AA101" s="73"/>
      <c r="AB101" s="73"/>
      <c r="AC101" s="68">
        <f t="shared" si="14"/>
        <v>0</v>
      </c>
    </row>
    <row r="102" spans="1:29" ht="15" customHeight="1" x14ac:dyDescent="0.45">
      <c r="A102" s="55" t="str">
        <f t="shared" si="15"/>
        <v/>
      </c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68">
        <f t="shared" si="11"/>
        <v>0</v>
      </c>
      <c r="W102" s="68" t="str">
        <f t="shared" si="16"/>
        <v/>
      </c>
      <c r="X102" s="90" t="str">
        <f t="shared" si="13"/>
        <v>-</v>
      </c>
      <c r="Y102" s="73"/>
      <c r="Z102" s="73"/>
      <c r="AA102" s="73"/>
      <c r="AB102" s="73"/>
      <c r="AC102" s="68">
        <f t="shared" si="14"/>
        <v>0</v>
      </c>
    </row>
    <row r="103" spans="1:29" ht="15" customHeight="1" x14ac:dyDescent="0.45">
      <c r="A103" s="92" t="s">
        <v>120</v>
      </c>
      <c r="B103" s="93"/>
      <c r="C103" s="93"/>
      <c r="D103" s="93"/>
      <c r="E103" s="93"/>
      <c r="F103" s="94">
        <f>SUM(F5:F102)</f>
        <v>752471165.96000004</v>
      </c>
      <c r="G103" s="94">
        <f>SUM(G5:G102)</f>
        <v>254626830</v>
      </c>
      <c r="H103" s="93"/>
      <c r="I103" s="93"/>
      <c r="J103" s="94">
        <f>SUM(J5:J102)</f>
        <v>235010014.25</v>
      </c>
      <c r="K103" s="93"/>
      <c r="L103" s="93"/>
      <c r="M103" s="94">
        <f>SUM(M5:M102)</f>
        <v>0</v>
      </c>
      <c r="N103" s="93"/>
      <c r="O103" s="93"/>
      <c r="P103" s="94">
        <f>SUM(P5:P102)</f>
        <v>0</v>
      </c>
      <c r="Q103" s="93"/>
      <c r="R103" s="93"/>
      <c r="S103" s="94">
        <f>SUM(S5:S102)</f>
        <v>27938400</v>
      </c>
      <c r="T103" s="93"/>
      <c r="U103" s="93"/>
      <c r="V103" s="94">
        <f>SUM(V5:V102)</f>
        <v>508196229.25</v>
      </c>
      <c r="W103" s="94">
        <f>SUM(W5:W102)</f>
        <v>212821421.70999998</v>
      </c>
      <c r="X103" s="95" t="str">
        <f>IF(OR(F105=0,F105=""),"-",V105/F105)</f>
        <v>-</v>
      </c>
      <c r="Y103" s="93"/>
      <c r="Z103" s="93"/>
      <c r="AA103" s="93"/>
      <c r="AB103" s="93"/>
      <c r="AC103" s="94">
        <f>SUM(AC5:AC102)</f>
        <v>31453515</v>
      </c>
    </row>
    <row r="104" spans="1:29" ht="15" customHeight="1" x14ac:dyDescent="0.45"/>
    <row r="105" spans="1:29" ht="15" customHeight="1" x14ac:dyDescent="0.45"/>
  </sheetData>
  <autoFilter ref="A4:Y105" xr:uid="{00000000-0009-0000-0000-000001000000}"/>
  <mergeCells count="17">
    <mergeCell ref="A2:Y2"/>
    <mergeCell ref="C3:C4"/>
    <mergeCell ref="B3:B4"/>
    <mergeCell ref="A3:A4"/>
    <mergeCell ref="E3:E4"/>
    <mergeCell ref="A1:Y1"/>
    <mergeCell ref="M3:O3"/>
    <mergeCell ref="F3:F4"/>
    <mergeCell ref="D3:D4"/>
    <mergeCell ref="V3:V4"/>
    <mergeCell ref="S3:U3"/>
    <mergeCell ref="G3:I3"/>
    <mergeCell ref="W3:W4"/>
    <mergeCell ref="X3:X4"/>
    <mergeCell ref="Y3:Y4"/>
    <mergeCell ref="J3:L3"/>
    <mergeCell ref="P3:R3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Lists!$A$2:$A$11</xm:f>
          </x14:formula1>
          <xm:sqref>Y5:Y102</xm:sqref>
        </x14:dataValidation>
        <x14:dataValidation type="list" allowBlank="1" xr:uid="{00000000-0002-0000-0100-000001000000}">
          <x14:formula1>
            <xm:f>Lists!$B$2:$B$11</xm:f>
          </x14:formula1>
          <xm:sqref>D5:D102</xm:sqref>
        </x14:dataValidation>
        <x14:dataValidation type="list" allowBlank="1" xr:uid="{00000000-0002-0000-0100-000002000000}">
          <x14:formula1>
            <xm:f>Lists!$C$2:$C$18</xm:f>
          </x14:formula1>
          <xm:sqref>C5:C102</xm:sqref>
        </x14:dataValidation>
        <x14:dataValidation type="list" allowBlank="1" xr:uid="{00000000-0002-0000-0100-000003000000}">
          <x14:formula1>
            <xm:f>Lists!$D$2:$D$14</xm:f>
          </x14:formula1>
          <xm:sqref>B5:B102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47"/>
  <sheetViews>
    <sheetView tabSelected="1" topLeftCell="A6" zoomScaleNormal="100" workbookViewId="0"/>
  </sheetViews>
  <sheetFormatPr baseColWidth="10" defaultColWidth="8.73046875" defaultRowHeight="14.25" x14ac:dyDescent="0.45"/>
  <cols>
    <col min="1" max="1" width="90" customWidth="1"/>
  </cols>
  <sheetData>
    <row r="1" spans="1:1" ht="15.75" customHeight="1" x14ac:dyDescent="0.5">
      <c r="A1" s="96" t="s">
        <v>121</v>
      </c>
    </row>
    <row r="2" spans="1:1" ht="15" customHeight="1" x14ac:dyDescent="0.45">
      <c r="A2" s="97"/>
    </row>
    <row r="3" spans="1:1" ht="15" customHeight="1" x14ac:dyDescent="0.45">
      <c r="A3" s="98" t="s">
        <v>122</v>
      </c>
    </row>
    <row r="4" spans="1:1" ht="15" customHeight="1" x14ac:dyDescent="0.45">
      <c r="A4" s="97" t="s">
        <v>123</v>
      </c>
    </row>
    <row r="5" spans="1:1" ht="15" customHeight="1" x14ac:dyDescent="0.45">
      <c r="A5" s="97" t="s">
        <v>124</v>
      </c>
    </row>
    <row r="6" spans="1:1" ht="15" customHeight="1" x14ac:dyDescent="0.45">
      <c r="A6" s="97" t="s">
        <v>125</v>
      </c>
    </row>
    <row r="7" spans="1:1" ht="15" customHeight="1" x14ac:dyDescent="0.45">
      <c r="A7" s="97" t="s">
        <v>126</v>
      </c>
    </row>
    <row r="8" spans="1:1" ht="15" customHeight="1" x14ac:dyDescent="0.45">
      <c r="A8" s="97"/>
    </row>
    <row r="9" spans="1:1" ht="15" customHeight="1" x14ac:dyDescent="0.45">
      <c r="A9" s="99" t="s">
        <v>127</v>
      </c>
    </row>
    <row r="10" spans="1:1" ht="15" customHeight="1" x14ac:dyDescent="0.45">
      <c r="A10" s="98" t="s">
        <v>128</v>
      </c>
    </row>
    <row r="11" spans="1:1" ht="15" customHeight="1" x14ac:dyDescent="0.45">
      <c r="A11" s="99" t="s">
        <v>127</v>
      </c>
    </row>
    <row r="12" spans="1:1" ht="15" customHeight="1" x14ac:dyDescent="0.45">
      <c r="A12" s="97"/>
    </row>
    <row r="13" spans="1:1" ht="15" customHeight="1" x14ac:dyDescent="0.45">
      <c r="A13" s="100" t="s">
        <v>129</v>
      </c>
    </row>
    <row r="14" spans="1:1" ht="15" customHeight="1" x14ac:dyDescent="0.45">
      <c r="A14" s="100" t="s">
        <v>130</v>
      </c>
    </row>
    <row r="15" spans="1:1" ht="15" customHeight="1" x14ac:dyDescent="0.45">
      <c r="A15" s="100" t="s">
        <v>131</v>
      </c>
    </row>
    <row r="16" spans="1:1" ht="15" customHeight="1" x14ac:dyDescent="0.45">
      <c r="A16" s="100" t="s">
        <v>132</v>
      </c>
    </row>
    <row r="17" spans="1:1" ht="15" customHeight="1" x14ac:dyDescent="0.45">
      <c r="A17" s="100" t="s">
        <v>133</v>
      </c>
    </row>
    <row r="18" spans="1:1" ht="15" customHeight="1" x14ac:dyDescent="0.45">
      <c r="A18" s="100" t="s">
        <v>134</v>
      </c>
    </row>
    <row r="19" spans="1:1" ht="15" customHeight="1" x14ac:dyDescent="0.45">
      <c r="A19" s="100" t="s">
        <v>135</v>
      </c>
    </row>
    <row r="20" spans="1:1" ht="15" customHeight="1" x14ac:dyDescent="0.45">
      <c r="A20" s="100" t="s">
        <v>136</v>
      </c>
    </row>
    <row r="21" spans="1:1" ht="15" customHeight="1" x14ac:dyDescent="0.45">
      <c r="A21" s="100" t="s">
        <v>137</v>
      </c>
    </row>
    <row r="22" spans="1:1" ht="15" customHeight="1" x14ac:dyDescent="0.45">
      <c r="A22" s="100" t="s">
        <v>138</v>
      </c>
    </row>
    <row r="23" spans="1:1" ht="15" customHeight="1" x14ac:dyDescent="0.45">
      <c r="A23" s="97"/>
    </row>
    <row r="24" spans="1:1" ht="15" customHeight="1" x14ac:dyDescent="0.45">
      <c r="A24" s="99" t="s">
        <v>127</v>
      </c>
    </row>
    <row r="25" spans="1:1" ht="15" customHeight="1" x14ac:dyDescent="0.45">
      <c r="A25" s="98" t="s">
        <v>139</v>
      </c>
    </row>
    <row r="26" spans="1:1" ht="15" customHeight="1" x14ac:dyDescent="0.45">
      <c r="A26" s="99" t="s">
        <v>127</v>
      </c>
    </row>
    <row r="27" spans="1:1" ht="15" customHeight="1" x14ac:dyDescent="0.45">
      <c r="A27" s="97"/>
    </row>
    <row r="28" spans="1:1" ht="15" customHeight="1" x14ac:dyDescent="0.45">
      <c r="A28" s="100" t="s">
        <v>140</v>
      </c>
    </row>
    <row r="29" spans="1:1" ht="15" customHeight="1" x14ac:dyDescent="0.45">
      <c r="A29" s="97" t="s">
        <v>141</v>
      </c>
    </row>
    <row r="30" spans="1:1" ht="15" customHeight="1" x14ac:dyDescent="0.45">
      <c r="A30" s="97" t="s">
        <v>142</v>
      </c>
    </row>
    <row r="31" spans="1:1" ht="15" customHeight="1" x14ac:dyDescent="0.45">
      <c r="A31" s="97" t="s">
        <v>143</v>
      </c>
    </row>
    <row r="32" spans="1:1" ht="15" customHeight="1" x14ac:dyDescent="0.45">
      <c r="A32" s="97" t="s">
        <v>144</v>
      </c>
    </row>
    <row r="33" spans="1:1" ht="15" customHeight="1" x14ac:dyDescent="0.45">
      <c r="A33" s="97" t="s">
        <v>141</v>
      </c>
    </row>
    <row r="34" spans="1:1" ht="15" customHeight="1" x14ac:dyDescent="0.45">
      <c r="A34" s="100" t="s">
        <v>145</v>
      </c>
    </row>
    <row r="35" spans="1:1" ht="15" customHeight="1" x14ac:dyDescent="0.45">
      <c r="A35" s="100" t="s">
        <v>146</v>
      </c>
    </row>
    <row r="36" spans="1:1" ht="15" customHeight="1" x14ac:dyDescent="0.45">
      <c r="A36" s="100" t="s">
        <v>147</v>
      </c>
    </row>
    <row r="37" spans="1:1" ht="15" customHeight="1" x14ac:dyDescent="0.45">
      <c r="A37" s="97"/>
    </row>
    <row r="38" spans="1:1" ht="15" customHeight="1" x14ac:dyDescent="0.45">
      <c r="A38" s="100" t="s">
        <v>148</v>
      </c>
    </row>
    <row r="39" spans="1:1" ht="15" customHeight="1" x14ac:dyDescent="0.45">
      <c r="A39" s="100" t="s">
        <v>149</v>
      </c>
    </row>
    <row r="40" spans="1:1" ht="15" customHeight="1" x14ac:dyDescent="0.45">
      <c r="A40" s="100" t="s">
        <v>150</v>
      </c>
    </row>
    <row r="41" spans="1:1" ht="15" customHeight="1" x14ac:dyDescent="0.45">
      <c r="A41" s="97"/>
    </row>
    <row r="42" spans="1:1" ht="15" customHeight="1" x14ac:dyDescent="0.45">
      <c r="A42" s="100" t="s">
        <v>151</v>
      </c>
    </row>
    <row r="43" spans="1:1" ht="15" customHeight="1" x14ac:dyDescent="0.45">
      <c r="A43" s="100" t="s">
        <v>152</v>
      </c>
    </row>
    <row r="44" spans="1:1" ht="15" customHeight="1" x14ac:dyDescent="0.45">
      <c r="A44" s="100" t="s">
        <v>153</v>
      </c>
    </row>
    <row r="45" spans="1:1" ht="15" customHeight="1" x14ac:dyDescent="0.45">
      <c r="A45" s="100" t="s">
        <v>154</v>
      </c>
    </row>
    <row r="46" spans="1:1" ht="15" customHeight="1" x14ac:dyDescent="0.45">
      <c r="A46" s="100" t="s">
        <v>155</v>
      </c>
    </row>
    <row r="47" spans="1:1" ht="15" customHeight="1" x14ac:dyDescent="0.45">
      <c r="A47" s="100" t="s">
        <v>156</v>
      </c>
    </row>
    <row r="48" spans="1:1" ht="15" customHeight="1" x14ac:dyDescent="0.45">
      <c r="A48" s="100" t="s">
        <v>157</v>
      </c>
    </row>
    <row r="49" spans="1:1" ht="15" customHeight="1" x14ac:dyDescent="0.45">
      <c r="A49" s="97"/>
    </row>
    <row r="50" spans="1:1" ht="15" customHeight="1" x14ac:dyDescent="0.45">
      <c r="A50" s="100" t="s">
        <v>158</v>
      </c>
    </row>
    <row r="51" spans="1:1" ht="15" customHeight="1" x14ac:dyDescent="0.45">
      <c r="A51" s="100" t="s">
        <v>159</v>
      </c>
    </row>
    <row r="52" spans="1:1" ht="15" customHeight="1" x14ac:dyDescent="0.45">
      <c r="A52" s="100" t="s">
        <v>160</v>
      </c>
    </row>
    <row r="53" spans="1:1" ht="15" customHeight="1" x14ac:dyDescent="0.45">
      <c r="A53" s="100" t="s">
        <v>161</v>
      </c>
    </row>
    <row r="54" spans="1:1" ht="15" customHeight="1" x14ac:dyDescent="0.45">
      <c r="A54" s="100" t="s">
        <v>162</v>
      </c>
    </row>
    <row r="55" spans="1:1" ht="15" customHeight="1" x14ac:dyDescent="0.45">
      <c r="A55" s="100" t="s">
        <v>163</v>
      </c>
    </row>
    <row r="56" spans="1:1" ht="15" customHeight="1" x14ac:dyDescent="0.45">
      <c r="A56" s="100" t="s">
        <v>164</v>
      </c>
    </row>
    <row r="57" spans="1:1" ht="15" customHeight="1" x14ac:dyDescent="0.45">
      <c r="A57" s="100" t="s">
        <v>138</v>
      </c>
    </row>
    <row r="58" spans="1:1" ht="15" customHeight="1" x14ac:dyDescent="0.45">
      <c r="A58" s="97"/>
    </row>
    <row r="59" spans="1:1" ht="15" customHeight="1" x14ac:dyDescent="0.45">
      <c r="A59" s="100" t="s">
        <v>165</v>
      </c>
    </row>
    <row r="60" spans="1:1" ht="15" customHeight="1" x14ac:dyDescent="0.45">
      <c r="A60" s="97" t="s">
        <v>141</v>
      </c>
    </row>
    <row r="61" spans="1:1" ht="15" customHeight="1" x14ac:dyDescent="0.45">
      <c r="A61" s="97" t="s">
        <v>166</v>
      </c>
    </row>
    <row r="62" spans="1:1" ht="15" customHeight="1" x14ac:dyDescent="0.45">
      <c r="A62" s="97" t="s">
        <v>141</v>
      </c>
    </row>
    <row r="63" spans="1:1" ht="15" customHeight="1" x14ac:dyDescent="0.45">
      <c r="A63" s="100" t="s">
        <v>167</v>
      </c>
    </row>
    <row r="64" spans="1:1" ht="15" customHeight="1" x14ac:dyDescent="0.45">
      <c r="A64" s="100" t="s">
        <v>168</v>
      </c>
    </row>
    <row r="65" spans="1:1" ht="15" customHeight="1" x14ac:dyDescent="0.45">
      <c r="A65" s="100" t="s">
        <v>169</v>
      </c>
    </row>
    <row r="66" spans="1:1" ht="15" customHeight="1" x14ac:dyDescent="0.45">
      <c r="A66" s="97"/>
    </row>
    <row r="67" spans="1:1" ht="15" customHeight="1" x14ac:dyDescent="0.45">
      <c r="A67" s="100" t="s">
        <v>170</v>
      </c>
    </row>
    <row r="68" spans="1:1" ht="15" customHeight="1" x14ac:dyDescent="0.45">
      <c r="A68" s="100" t="s">
        <v>171</v>
      </c>
    </row>
    <row r="69" spans="1:1" ht="15" customHeight="1" x14ac:dyDescent="0.45">
      <c r="A69" s="100" t="s">
        <v>172</v>
      </c>
    </row>
    <row r="70" spans="1:1" ht="15" customHeight="1" x14ac:dyDescent="0.45">
      <c r="A70" s="100" t="s">
        <v>173</v>
      </c>
    </row>
    <row r="71" spans="1:1" ht="15" customHeight="1" x14ac:dyDescent="0.45">
      <c r="A71" s="100" t="s">
        <v>174</v>
      </c>
    </row>
    <row r="72" spans="1:1" ht="15" customHeight="1" x14ac:dyDescent="0.45">
      <c r="A72" s="100" t="s">
        <v>156</v>
      </c>
    </row>
    <row r="73" spans="1:1" ht="15" customHeight="1" x14ac:dyDescent="0.45">
      <c r="A73" s="100" t="s">
        <v>175</v>
      </c>
    </row>
    <row r="74" spans="1:1" ht="15" customHeight="1" x14ac:dyDescent="0.45">
      <c r="A74" s="100" t="s">
        <v>176</v>
      </c>
    </row>
    <row r="75" spans="1:1" ht="15" customHeight="1" x14ac:dyDescent="0.45">
      <c r="A75" s="100" t="s">
        <v>156</v>
      </c>
    </row>
    <row r="76" spans="1:1" ht="15" customHeight="1" x14ac:dyDescent="0.45">
      <c r="A76" s="100" t="s">
        <v>177</v>
      </c>
    </row>
    <row r="77" spans="1:1" ht="15" customHeight="1" x14ac:dyDescent="0.45">
      <c r="A77" s="100" t="s">
        <v>178</v>
      </c>
    </row>
    <row r="78" spans="1:1" ht="15" customHeight="1" x14ac:dyDescent="0.45">
      <c r="A78" s="100" t="s">
        <v>156</v>
      </c>
    </row>
    <row r="79" spans="1:1" ht="15" customHeight="1" x14ac:dyDescent="0.45">
      <c r="A79" s="100" t="s">
        <v>179</v>
      </c>
    </row>
    <row r="80" spans="1:1" ht="15" customHeight="1" x14ac:dyDescent="0.45">
      <c r="A80" s="97"/>
    </row>
    <row r="81" spans="1:1" ht="15" customHeight="1" x14ac:dyDescent="0.45">
      <c r="A81" s="100" t="s">
        <v>180</v>
      </c>
    </row>
    <row r="82" spans="1:1" ht="15" customHeight="1" x14ac:dyDescent="0.45">
      <c r="A82" s="100" t="s">
        <v>181</v>
      </c>
    </row>
    <row r="83" spans="1:1" ht="15" customHeight="1" x14ac:dyDescent="0.45">
      <c r="A83" s="100" t="s">
        <v>182</v>
      </c>
    </row>
    <row r="84" spans="1:1" ht="15" customHeight="1" x14ac:dyDescent="0.45">
      <c r="A84" s="100" t="s">
        <v>183</v>
      </c>
    </row>
    <row r="85" spans="1:1" ht="15" customHeight="1" x14ac:dyDescent="0.45">
      <c r="A85" s="100" t="s">
        <v>184</v>
      </c>
    </row>
    <row r="86" spans="1:1" ht="15" customHeight="1" x14ac:dyDescent="0.45">
      <c r="A86" s="100" t="s">
        <v>185</v>
      </c>
    </row>
    <row r="87" spans="1:1" ht="15" customHeight="1" x14ac:dyDescent="0.45">
      <c r="A87" s="100" t="s">
        <v>138</v>
      </c>
    </row>
    <row r="90" spans="1:1" ht="15" customHeight="1" x14ac:dyDescent="0.45">
      <c r="A90" s="97"/>
    </row>
    <row r="91" spans="1:1" ht="15" customHeight="1" x14ac:dyDescent="0.45">
      <c r="A91" s="101" t="s">
        <v>127</v>
      </c>
    </row>
    <row r="92" spans="1:1" ht="15" customHeight="1" x14ac:dyDescent="0.45">
      <c r="A92" s="98" t="s">
        <v>186</v>
      </c>
    </row>
    <row r="93" spans="1:1" ht="15" customHeight="1" x14ac:dyDescent="0.45">
      <c r="A93" s="97" t="s">
        <v>187</v>
      </c>
    </row>
    <row r="94" spans="1:1" ht="15" customHeight="1" x14ac:dyDescent="0.45">
      <c r="A94" s="97" t="s">
        <v>188</v>
      </c>
    </row>
    <row r="95" spans="1:1" ht="15" customHeight="1" x14ac:dyDescent="0.45">
      <c r="A95" s="101" t="s">
        <v>127</v>
      </c>
    </row>
    <row r="96" spans="1:1" ht="15" customHeight="1" x14ac:dyDescent="0.45">
      <c r="A96" s="97"/>
    </row>
    <row r="97" spans="1:1" ht="15" customHeight="1" x14ac:dyDescent="0.45">
      <c r="A97" s="100" t="s">
        <v>189</v>
      </c>
    </row>
    <row r="98" spans="1:1" ht="15" customHeight="1" x14ac:dyDescent="0.45">
      <c r="A98" s="100" t="s">
        <v>141</v>
      </c>
    </row>
    <row r="99" spans="1:1" ht="15" customHeight="1" x14ac:dyDescent="0.45">
      <c r="A99" s="100" t="s">
        <v>190</v>
      </c>
    </row>
    <row r="100" spans="1:1" ht="15" customHeight="1" x14ac:dyDescent="0.45">
      <c r="A100" s="100" t="s">
        <v>191</v>
      </c>
    </row>
    <row r="101" spans="1:1" ht="15" customHeight="1" x14ac:dyDescent="0.45">
      <c r="A101" s="100" t="s">
        <v>192</v>
      </c>
    </row>
    <row r="102" spans="1:1" ht="15" customHeight="1" x14ac:dyDescent="0.45">
      <c r="A102" s="100" t="s">
        <v>141</v>
      </c>
    </row>
    <row r="103" spans="1:1" ht="15" customHeight="1" x14ac:dyDescent="0.45">
      <c r="A103" s="100" t="s">
        <v>193</v>
      </c>
    </row>
    <row r="104" spans="1:1" ht="15" customHeight="1" x14ac:dyDescent="0.45">
      <c r="A104" s="100" t="s">
        <v>194</v>
      </c>
    </row>
    <row r="105" spans="1:1" ht="15" customHeight="1" x14ac:dyDescent="0.45">
      <c r="A105" s="100" t="s">
        <v>195</v>
      </c>
    </row>
    <row r="106" spans="1:1" ht="15" customHeight="1" x14ac:dyDescent="0.45">
      <c r="A106" s="100" t="s">
        <v>196</v>
      </c>
    </row>
    <row r="107" spans="1:1" ht="15" customHeight="1" x14ac:dyDescent="0.45">
      <c r="A107" s="100" t="s">
        <v>197</v>
      </c>
    </row>
    <row r="108" spans="1:1" ht="15" customHeight="1" x14ac:dyDescent="0.45">
      <c r="A108" s="100" t="s">
        <v>198</v>
      </c>
    </row>
    <row r="109" spans="1:1" ht="15" customHeight="1" x14ac:dyDescent="0.45">
      <c r="A109" s="100" t="s">
        <v>199</v>
      </c>
    </row>
    <row r="110" spans="1:1" ht="15" customHeight="1" x14ac:dyDescent="0.45">
      <c r="A110" s="100" t="s">
        <v>200</v>
      </c>
    </row>
    <row r="111" spans="1:1" ht="15" customHeight="1" x14ac:dyDescent="0.45">
      <c r="A111" s="100"/>
    </row>
    <row r="112" spans="1:1" ht="15" customHeight="1" x14ac:dyDescent="0.45">
      <c r="A112" s="100" t="s">
        <v>201</v>
      </c>
    </row>
    <row r="113" spans="1:1" ht="15" customHeight="1" x14ac:dyDescent="0.45">
      <c r="A113" s="100" t="s">
        <v>202</v>
      </c>
    </row>
    <row r="114" spans="1:1" ht="15" customHeight="1" x14ac:dyDescent="0.45">
      <c r="A114" s="100" t="s">
        <v>203</v>
      </c>
    </row>
    <row r="115" spans="1:1" ht="15" customHeight="1" x14ac:dyDescent="0.45">
      <c r="A115" s="100" t="s">
        <v>204</v>
      </c>
    </row>
    <row r="116" spans="1:1" ht="15" customHeight="1" x14ac:dyDescent="0.45">
      <c r="A116" s="100" t="s">
        <v>205</v>
      </c>
    </row>
    <row r="117" spans="1:1" ht="15" customHeight="1" x14ac:dyDescent="0.45">
      <c r="A117" s="100"/>
    </row>
    <row r="118" spans="1:1" ht="15" customHeight="1" x14ac:dyDescent="0.45">
      <c r="A118" s="100" t="s">
        <v>206</v>
      </c>
    </row>
    <row r="119" spans="1:1" ht="15" customHeight="1" x14ac:dyDescent="0.45">
      <c r="A119" s="100" t="s">
        <v>207</v>
      </c>
    </row>
    <row r="120" spans="1:1" ht="15" customHeight="1" x14ac:dyDescent="0.45">
      <c r="A120" s="100" t="s">
        <v>208</v>
      </c>
    </row>
    <row r="121" spans="1:1" ht="15" customHeight="1" x14ac:dyDescent="0.45">
      <c r="A121" s="100" t="s">
        <v>209</v>
      </c>
    </row>
    <row r="122" spans="1:1" ht="15" customHeight="1" x14ac:dyDescent="0.45">
      <c r="A122" s="100"/>
    </row>
    <row r="123" spans="1:1" ht="15" customHeight="1" x14ac:dyDescent="0.45">
      <c r="A123" s="100" t="s">
        <v>210</v>
      </c>
    </row>
    <row r="124" spans="1:1" ht="15" customHeight="1" x14ac:dyDescent="0.45">
      <c r="A124" s="100" t="s">
        <v>211</v>
      </c>
    </row>
    <row r="125" spans="1:1" ht="15" customHeight="1" x14ac:dyDescent="0.45">
      <c r="A125" s="100" t="s">
        <v>212</v>
      </c>
    </row>
    <row r="126" spans="1:1" ht="15" customHeight="1" x14ac:dyDescent="0.45">
      <c r="A126" s="100" t="s">
        <v>213</v>
      </c>
    </row>
    <row r="127" spans="1:1" ht="15" customHeight="1" x14ac:dyDescent="0.45">
      <c r="A127" s="100" t="s">
        <v>214</v>
      </c>
    </row>
    <row r="128" spans="1:1" ht="15" customHeight="1" x14ac:dyDescent="0.45">
      <c r="A128" s="100" t="s">
        <v>156</v>
      </c>
    </row>
    <row r="129" spans="1:1" ht="15" customHeight="1" x14ac:dyDescent="0.45">
      <c r="A129" s="100" t="s">
        <v>215</v>
      </c>
    </row>
    <row r="130" spans="1:1" ht="15" customHeight="1" x14ac:dyDescent="0.45">
      <c r="A130" s="100"/>
    </row>
    <row r="131" spans="1:1" ht="15" customHeight="1" x14ac:dyDescent="0.45">
      <c r="A131" s="100" t="s">
        <v>216</v>
      </c>
    </row>
    <row r="132" spans="1:1" ht="15" customHeight="1" x14ac:dyDescent="0.45">
      <c r="A132" s="100" t="s">
        <v>217</v>
      </c>
    </row>
    <row r="133" spans="1:1" ht="15" customHeight="1" x14ac:dyDescent="0.45">
      <c r="A133" s="100"/>
    </row>
    <row r="134" spans="1:1" ht="15" customHeight="1" x14ac:dyDescent="0.45">
      <c r="A134" s="100" t="s">
        <v>218</v>
      </c>
    </row>
    <row r="135" spans="1:1" ht="15" customHeight="1" x14ac:dyDescent="0.45">
      <c r="A135" s="100" t="s">
        <v>219</v>
      </c>
    </row>
    <row r="136" spans="1:1" ht="15" customHeight="1" x14ac:dyDescent="0.45">
      <c r="A136" s="100"/>
    </row>
    <row r="137" spans="1:1" ht="15" customHeight="1" x14ac:dyDescent="0.45">
      <c r="A137" s="100" t="s">
        <v>220</v>
      </c>
    </row>
    <row r="138" spans="1:1" ht="15" customHeight="1" x14ac:dyDescent="0.45">
      <c r="A138" s="100" t="s">
        <v>221</v>
      </c>
    </row>
    <row r="139" spans="1:1" ht="15" customHeight="1" x14ac:dyDescent="0.45">
      <c r="A139" s="100" t="s">
        <v>222</v>
      </c>
    </row>
    <row r="140" spans="1:1" ht="15" customHeight="1" x14ac:dyDescent="0.45">
      <c r="A140" s="100" t="s">
        <v>223</v>
      </c>
    </row>
    <row r="141" spans="1:1" ht="15" customHeight="1" x14ac:dyDescent="0.45">
      <c r="A141" s="100" t="s">
        <v>224</v>
      </c>
    </row>
    <row r="142" spans="1:1" ht="15" customHeight="1" x14ac:dyDescent="0.45">
      <c r="A142" s="100"/>
    </row>
    <row r="143" spans="1:1" ht="15" customHeight="1" x14ac:dyDescent="0.45">
      <c r="A143" s="100" t="s">
        <v>225</v>
      </c>
    </row>
    <row r="144" spans="1:1" ht="15" customHeight="1" x14ac:dyDescent="0.45">
      <c r="A144" s="100" t="s">
        <v>226</v>
      </c>
    </row>
    <row r="145" spans="1:1" ht="15" customHeight="1" x14ac:dyDescent="0.45">
      <c r="A145" s="100" t="s">
        <v>227</v>
      </c>
    </row>
    <row r="146" spans="1:1" ht="15" customHeight="1" x14ac:dyDescent="0.45">
      <c r="A146" s="100" t="s">
        <v>228</v>
      </c>
    </row>
    <row r="147" spans="1:1" ht="15" customHeight="1" x14ac:dyDescent="0.45">
      <c r="A147" s="100" t="s">
        <v>229</v>
      </c>
    </row>
    <row r="148" spans="1:1" ht="15" customHeight="1" x14ac:dyDescent="0.45">
      <c r="A148" s="100" t="s">
        <v>230</v>
      </c>
    </row>
    <row r="149" spans="1:1" ht="15" customHeight="1" x14ac:dyDescent="0.45">
      <c r="A149" s="100" t="s">
        <v>231</v>
      </c>
    </row>
    <row r="150" spans="1:1" ht="15" customHeight="1" x14ac:dyDescent="0.45">
      <c r="A150" s="100" t="s">
        <v>232</v>
      </c>
    </row>
    <row r="151" spans="1:1" ht="15" customHeight="1" x14ac:dyDescent="0.45">
      <c r="A151" s="100" t="s">
        <v>233</v>
      </c>
    </row>
    <row r="152" spans="1:1" ht="15" customHeight="1" x14ac:dyDescent="0.45">
      <c r="A152" s="100" t="s">
        <v>234</v>
      </c>
    </row>
    <row r="153" spans="1:1" ht="15" customHeight="1" x14ac:dyDescent="0.45">
      <c r="A153" s="100" t="s">
        <v>235</v>
      </c>
    </row>
    <row r="154" spans="1:1" ht="15" customHeight="1" x14ac:dyDescent="0.45">
      <c r="A154" s="100" t="s">
        <v>236</v>
      </c>
    </row>
    <row r="155" spans="1:1" ht="15" customHeight="1" x14ac:dyDescent="0.45">
      <c r="A155" s="100" t="s">
        <v>237</v>
      </c>
    </row>
    <row r="156" spans="1:1" ht="15" customHeight="1" x14ac:dyDescent="0.45">
      <c r="A156" s="100" t="s">
        <v>238</v>
      </c>
    </row>
    <row r="157" spans="1:1" ht="15" customHeight="1" x14ac:dyDescent="0.45">
      <c r="A157" s="100" t="s">
        <v>239</v>
      </c>
    </row>
    <row r="158" spans="1:1" ht="15" customHeight="1" x14ac:dyDescent="0.45">
      <c r="A158" s="100" t="s">
        <v>240</v>
      </c>
    </row>
    <row r="159" spans="1:1" ht="15" customHeight="1" x14ac:dyDescent="0.45">
      <c r="A159" s="100" t="s">
        <v>241</v>
      </c>
    </row>
    <row r="160" spans="1:1" ht="15" customHeight="1" x14ac:dyDescent="0.45">
      <c r="A160" s="100" t="s">
        <v>242</v>
      </c>
    </row>
    <row r="161" spans="1:1" ht="15" customHeight="1" x14ac:dyDescent="0.45">
      <c r="A161" s="100" t="s">
        <v>243</v>
      </c>
    </row>
    <row r="162" spans="1:1" ht="15" customHeight="1" x14ac:dyDescent="0.45">
      <c r="A162" s="100" t="s">
        <v>244</v>
      </c>
    </row>
    <row r="163" spans="1:1" ht="15" customHeight="1" x14ac:dyDescent="0.45">
      <c r="A163" s="100" t="s">
        <v>245</v>
      </c>
    </row>
    <row r="164" spans="1:1" ht="15" customHeight="1" x14ac:dyDescent="0.45">
      <c r="A164" s="100" t="s">
        <v>246</v>
      </c>
    </row>
    <row r="165" spans="1:1" ht="15" customHeight="1" x14ac:dyDescent="0.45">
      <c r="A165" s="100" t="s">
        <v>247</v>
      </c>
    </row>
    <row r="166" spans="1:1" ht="15" customHeight="1" x14ac:dyDescent="0.45">
      <c r="A166" s="100" t="s">
        <v>248</v>
      </c>
    </row>
    <row r="167" spans="1:1" ht="15" customHeight="1" x14ac:dyDescent="0.45">
      <c r="A167" s="100" t="s">
        <v>249</v>
      </c>
    </row>
    <row r="168" spans="1:1" ht="15" customHeight="1" x14ac:dyDescent="0.45">
      <c r="A168" s="100" t="s">
        <v>250</v>
      </c>
    </row>
    <row r="169" spans="1:1" ht="15" customHeight="1" x14ac:dyDescent="0.45">
      <c r="A169" s="100" t="s">
        <v>251</v>
      </c>
    </row>
    <row r="170" spans="1:1" ht="15" customHeight="1" x14ac:dyDescent="0.45">
      <c r="A170" s="100" t="s">
        <v>252</v>
      </c>
    </row>
    <row r="171" spans="1:1" ht="15" customHeight="1" x14ac:dyDescent="0.45">
      <c r="A171" s="100"/>
    </row>
    <row r="172" spans="1:1" ht="15" customHeight="1" x14ac:dyDescent="0.45">
      <c r="A172" s="100" t="s">
        <v>253</v>
      </c>
    </row>
    <row r="173" spans="1:1" ht="15" customHeight="1" x14ac:dyDescent="0.45">
      <c r="A173" s="100" t="s">
        <v>254</v>
      </c>
    </row>
    <row r="174" spans="1:1" ht="15" customHeight="1" x14ac:dyDescent="0.45">
      <c r="A174" s="100" t="s">
        <v>255</v>
      </c>
    </row>
    <row r="175" spans="1:1" ht="15" customHeight="1" x14ac:dyDescent="0.45">
      <c r="A175" s="100" t="s">
        <v>256</v>
      </c>
    </row>
    <row r="176" spans="1:1" ht="15" customHeight="1" x14ac:dyDescent="0.45">
      <c r="A176" s="100" t="s">
        <v>257</v>
      </c>
    </row>
    <row r="177" spans="1:1" ht="15" customHeight="1" x14ac:dyDescent="0.45">
      <c r="A177" s="100" t="s">
        <v>258</v>
      </c>
    </row>
    <row r="178" spans="1:1" ht="15" customHeight="1" x14ac:dyDescent="0.45">
      <c r="A178" s="100" t="s">
        <v>259</v>
      </c>
    </row>
    <row r="179" spans="1:1" ht="15" customHeight="1" x14ac:dyDescent="0.45">
      <c r="A179" s="100"/>
    </row>
    <row r="180" spans="1:1" ht="15" customHeight="1" x14ac:dyDescent="0.45">
      <c r="A180" s="100" t="s">
        <v>260</v>
      </c>
    </row>
    <row r="181" spans="1:1" ht="15" customHeight="1" x14ac:dyDescent="0.45">
      <c r="A181" s="100" t="s">
        <v>261</v>
      </c>
    </row>
    <row r="182" spans="1:1" ht="15" customHeight="1" x14ac:dyDescent="0.45">
      <c r="A182" s="100" t="s">
        <v>262</v>
      </c>
    </row>
    <row r="183" spans="1:1" ht="15" customHeight="1" x14ac:dyDescent="0.45">
      <c r="A183" s="100" t="s">
        <v>263</v>
      </c>
    </row>
    <row r="184" spans="1:1" ht="15" customHeight="1" x14ac:dyDescent="0.45">
      <c r="A184" s="100" t="s">
        <v>264</v>
      </c>
    </row>
    <row r="185" spans="1:1" ht="15" customHeight="1" x14ac:dyDescent="0.45">
      <c r="A185" s="100" t="s">
        <v>265</v>
      </c>
    </row>
    <row r="186" spans="1:1" ht="15" customHeight="1" x14ac:dyDescent="0.45">
      <c r="A186" s="100"/>
    </row>
    <row r="187" spans="1:1" ht="15" customHeight="1" x14ac:dyDescent="0.45">
      <c r="A187" s="100" t="s">
        <v>266</v>
      </c>
    </row>
    <row r="188" spans="1:1" ht="15" customHeight="1" x14ac:dyDescent="0.45">
      <c r="A188" s="100" t="s">
        <v>267</v>
      </c>
    </row>
    <row r="189" spans="1:1" ht="15" customHeight="1" x14ac:dyDescent="0.45">
      <c r="A189" s="100" t="s">
        <v>268</v>
      </c>
    </row>
    <row r="190" spans="1:1" ht="15" customHeight="1" x14ac:dyDescent="0.45">
      <c r="A190" s="100" t="s">
        <v>269</v>
      </c>
    </row>
    <row r="191" spans="1:1" ht="15" customHeight="1" x14ac:dyDescent="0.45">
      <c r="A191" s="100" t="s">
        <v>270</v>
      </c>
    </row>
    <row r="192" spans="1:1" ht="15" customHeight="1" x14ac:dyDescent="0.45">
      <c r="A192" s="100"/>
    </row>
    <row r="193" spans="1:1" ht="15" customHeight="1" x14ac:dyDescent="0.45">
      <c r="A193" s="100" t="s">
        <v>271</v>
      </c>
    </row>
    <row r="194" spans="1:1" ht="15" customHeight="1" x14ac:dyDescent="0.45">
      <c r="A194" s="100" t="s">
        <v>272</v>
      </c>
    </row>
    <row r="195" spans="1:1" ht="15" customHeight="1" x14ac:dyDescent="0.45">
      <c r="A195" s="100" t="s">
        <v>273</v>
      </c>
    </row>
    <row r="196" spans="1:1" ht="15" customHeight="1" x14ac:dyDescent="0.45">
      <c r="A196" s="100" t="s">
        <v>274</v>
      </c>
    </row>
    <row r="197" spans="1:1" ht="15" customHeight="1" x14ac:dyDescent="0.45">
      <c r="A197" s="100"/>
    </row>
    <row r="198" spans="1:1" ht="15" customHeight="1" x14ac:dyDescent="0.45">
      <c r="A198" s="100" t="s">
        <v>275</v>
      </c>
    </row>
    <row r="199" spans="1:1" ht="15" customHeight="1" x14ac:dyDescent="0.45">
      <c r="A199" s="100" t="s">
        <v>276</v>
      </c>
    </row>
    <row r="200" spans="1:1" ht="15" customHeight="1" x14ac:dyDescent="0.45">
      <c r="A200" s="100" t="s">
        <v>277</v>
      </c>
    </row>
    <row r="201" spans="1:1" ht="15" customHeight="1" x14ac:dyDescent="0.45">
      <c r="A201" s="100" t="s">
        <v>278</v>
      </c>
    </row>
    <row r="202" spans="1:1" ht="15" customHeight="1" x14ac:dyDescent="0.45">
      <c r="A202" s="100"/>
    </row>
    <row r="203" spans="1:1" ht="15" customHeight="1" x14ac:dyDescent="0.45">
      <c r="A203" s="100" t="s">
        <v>279</v>
      </c>
    </row>
    <row r="204" spans="1:1" ht="15" customHeight="1" x14ac:dyDescent="0.45">
      <c r="A204" s="100" t="s">
        <v>280</v>
      </c>
    </row>
    <row r="205" spans="1:1" ht="15" customHeight="1" x14ac:dyDescent="0.45">
      <c r="A205" s="100" t="s">
        <v>281</v>
      </c>
    </row>
    <row r="206" spans="1:1" ht="15" customHeight="1" x14ac:dyDescent="0.45">
      <c r="A206" s="100" t="s">
        <v>282</v>
      </c>
    </row>
    <row r="207" spans="1:1" ht="15" customHeight="1" x14ac:dyDescent="0.45">
      <c r="A207" s="100"/>
    </row>
    <row r="208" spans="1:1" ht="15" customHeight="1" x14ac:dyDescent="0.45">
      <c r="A208" s="100" t="s">
        <v>283</v>
      </c>
    </row>
    <row r="209" spans="1:1" ht="15" customHeight="1" x14ac:dyDescent="0.45">
      <c r="A209" s="100" t="s">
        <v>284</v>
      </c>
    </row>
    <row r="210" spans="1:1" ht="15" customHeight="1" x14ac:dyDescent="0.45">
      <c r="A210" s="100" t="s">
        <v>285</v>
      </c>
    </row>
    <row r="211" spans="1:1" ht="15" customHeight="1" x14ac:dyDescent="0.45">
      <c r="A211" s="100" t="s">
        <v>286</v>
      </c>
    </row>
    <row r="212" spans="1:1" ht="15" customHeight="1" x14ac:dyDescent="0.45">
      <c r="A212" s="100" t="s">
        <v>287</v>
      </c>
    </row>
    <row r="213" spans="1:1" ht="15" customHeight="1" x14ac:dyDescent="0.45">
      <c r="A213" s="100"/>
    </row>
    <row r="214" spans="1:1" ht="15" customHeight="1" x14ac:dyDescent="0.45">
      <c r="A214" s="100" t="s">
        <v>288</v>
      </c>
    </row>
    <row r="215" spans="1:1" ht="15" customHeight="1" x14ac:dyDescent="0.45">
      <c r="A215" s="100" t="s">
        <v>289</v>
      </c>
    </row>
    <row r="216" spans="1:1" ht="15" customHeight="1" x14ac:dyDescent="0.45">
      <c r="A216" s="100"/>
    </row>
    <row r="217" spans="1:1" ht="15" customHeight="1" x14ac:dyDescent="0.45">
      <c r="A217" s="100" t="s">
        <v>290</v>
      </c>
    </row>
    <row r="218" spans="1:1" ht="15" customHeight="1" x14ac:dyDescent="0.45">
      <c r="A218" s="100" t="s">
        <v>291</v>
      </c>
    </row>
    <row r="219" spans="1:1" ht="15" customHeight="1" x14ac:dyDescent="0.45">
      <c r="A219" s="100" t="s">
        <v>292</v>
      </c>
    </row>
    <row r="220" spans="1:1" ht="15" customHeight="1" x14ac:dyDescent="0.45">
      <c r="A220" s="100"/>
    </row>
    <row r="221" spans="1:1" ht="15" customHeight="1" x14ac:dyDescent="0.45">
      <c r="A221" s="100" t="s">
        <v>293</v>
      </c>
    </row>
    <row r="222" spans="1:1" ht="15" customHeight="1" x14ac:dyDescent="0.45">
      <c r="A222" s="100" t="s">
        <v>294</v>
      </c>
    </row>
    <row r="223" spans="1:1" ht="15" customHeight="1" x14ac:dyDescent="0.45">
      <c r="A223" s="100" t="s">
        <v>295</v>
      </c>
    </row>
    <row r="224" spans="1:1" ht="15" customHeight="1" x14ac:dyDescent="0.45">
      <c r="A224" s="100" t="s">
        <v>296</v>
      </c>
    </row>
    <row r="225" spans="1:1" ht="15" customHeight="1" x14ac:dyDescent="0.45">
      <c r="A225" s="100" t="s">
        <v>297</v>
      </c>
    </row>
    <row r="226" spans="1:1" ht="15" customHeight="1" x14ac:dyDescent="0.45">
      <c r="A226" s="100"/>
    </row>
    <row r="227" spans="1:1" ht="15" customHeight="1" x14ac:dyDescent="0.45">
      <c r="A227" s="100" t="s">
        <v>298</v>
      </c>
    </row>
    <row r="228" spans="1:1" ht="15" customHeight="1" x14ac:dyDescent="0.45">
      <c r="A228" s="100" t="s">
        <v>299</v>
      </c>
    </row>
    <row r="229" spans="1:1" ht="15" customHeight="1" x14ac:dyDescent="0.45">
      <c r="A229" s="100" t="s">
        <v>300</v>
      </c>
    </row>
    <row r="230" spans="1:1" ht="15" customHeight="1" x14ac:dyDescent="0.45">
      <c r="A230" s="100" t="s">
        <v>301</v>
      </c>
    </row>
    <row r="231" spans="1:1" ht="15" customHeight="1" x14ac:dyDescent="0.45">
      <c r="A231" s="100" t="s">
        <v>302</v>
      </c>
    </row>
    <row r="232" spans="1:1" ht="15" customHeight="1" x14ac:dyDescent="0.45">
      <c r="A232" s="100" t="s">
        <v>303</v>
      </c>
    </row>
    <row r="233" spans="1:1" ht="15" customHeight="1" x14ac:dyDescent="0.45">
      <c r="A233" s="100"/>
    </row>
    <row r="234" spans="1:1" ht="15" customHeight="1" x14ac:dyDescent="0.45">
      <c r="A234" s="100" t="s">
        <v>304</v>
      </c>
    </row>
    <row r="235" spans="1:1" ht="15" customHeight="1" x14ac:dyDescent="0.45">
      <c r="A235" s="100" t="s">
        <v>305</v>
      </c>
    </row>
    <row r="236" spans="1:1" ht="15" customHeight="1" x14ac:dyDescent="0.45">
      <c r="A236" s="100" t="s">
        <v>306</v>
      </c>
    </row>
    <row r="237" spans="1:1" ht="15" customHeight="1" x14ac:dyDescent="0.45">
      <c r="A237" s="100" t="s">
        <v>307</v>
      </c>
    </row>
    <row r="238" spans="1:1" ht="15" customHeight="1" x14ac:dyDescent="0.45">
      <c r="A238" s="100" t="s">
        <v>308</v>
      </c>
    </row>
    <row r="239" spans="1:1" ht="15" customHeight="1" x14ac:dyDescent="0.45">
      <c r="A239" s="100" t="s">
        <v>309</v>
      </c>
    </row>
    <row r="240" spans="1:1" ht="15" customHeight="1" x14ac:dyDescent="0.45">
      <c r="A240" s="100"/>
    </row>
    <row r="241" spans="1:1" ht="15" customHeight="1" x14ac:dyDescent="0.45">
      <c r="A241" s="100" t="s">
        <v>210</v>
      </c>
    </row>
    <row r="242" spans="1:1" ht="15" customHeight="1" x14ac:dyDescent="0.45">
      <c r="A242" s="100" t="s">
        <v>310</v>
      </c>
    </row>
    <row r="243" spans="1:1" ht="15" customHeight="1" x14ac:dyDescent="0.45">
      <c r="A243" s="100" t="s">
        <v>311</v>
      </c>
    </row>
    <row r="244" spans="1:1" ht="15" customHeight="1" x14ac:dyDescent="0.45">
      <c r="A244" s="100" t="s">
        <v>312</v>
      </c>
    </row>
    <row r="245" spans="1:1" ht="15" customHeight="1" x14ac:dyDescent="0.45">
      <c r="A245" s="100" t="s">
        <v>313</v>
      </c>
    </row>
    <row r="246" spans="1:1" ht="15" customHeight="1" x14ac:dyDescent="0.45">
      <c r="A246" s="100" t="s">
        <v>314</v>
      </c>
    </row>
    <row r="247" spans="1:1" ht="15" customHeight="1" x14ac:dyDescent="0.45">
      <c r="A247" s="100" t="s">
        <v>315</v>
      </c>
    </row>
    <row r="248" spans="1:1" ht="15" customHeight="1" x14ac:dyDescent="0.45">
      <c r="A248" s="100" t="s">
        <v>316</v>
      </c>
    </row>
    <row r="249" spans="1:1" ht="15" customHeight="1" x14ac:dyDescent="0.45">
      <c r="A249" s="100" t="s">
        <v>317</v>
      </c>
    </row>
    <row r="250" spans="1:1" ht="15" customHeight="1" x14ac:dyDescent="0.45">
      <c r="A250" s="100" t="s">
        <v>318</v>
      </c>
    </row>
    <row r="251" spans="1:1" ht="15" customHeight="1" x14ac:dyDescent="0.45">
      <c r="A251" s="100" t="s">
        <v>319</v>
      </c>
    </row>
    <row r="252" spans="1:1" ht="15" customHeight="1" x14ac:dyDescent="0.45">
      <c r="A252" s="100" t="s">
        <v>320</v>
      </c>
    </row>
    <row r="253" spans="1:1" ht="15" customHeight="1" x14ac:dyDescent="0.45">
      <c r="A253" s="100" t="s">
        <v>156</v>
      </c>
    </row>
    <row r="254" spans="1:1" ht="15" customHeight="1" x14ac:dyDescent="0.45">
      <c r="A254" s="100" t="s">
        <v>215</v>
      </c>
    </row>
    <row r="255" spans="1:1" ht="15" customHeight="1" x14ac:dyDescent="0.45">
      <c r="A255" s="100"/>
    </row>
    <row r="256" spans="1:1" ht="15" customHeight="1" x14ac:dyDescent="0.45">
      <c r="A256" s="100" t="s">
        <v>321</v>
      </c>
    </row>
    <row r="257" spans="1:1" ht="15" customHeight="1" x14ac:dyDescent="0.45">
      <c r="A257" s="100" t="s">
        <v>322</v>
      </c>
    </row>
    <row r="258" spans="1:1" ht="15" customHeight="1" x14ac:dyDescent="0.45">
      <c r="A258" s="100" t="s">
        <v>323</v>
      </c>
    </row>
    <row r="259" spans="1:1" ht="15" customHeight="1" x14ac:dyDescent="0.45">
      <c r="A259" s="100" t="s">
        <v>324</v>
      </c>
    </row>
    <row r="260" spans="1:1" ht="15" customHeight="1" x14ac:dyDescent="0.45">
      <c r="A260" s="100" t="s">
        <v>325</v>
      </c>
    </row>
    <row r="261" spans="1:1" ht="15" customHeight="1" x14ac:dyDescent="0.45">
      <c r="A261" s="100" t="s">
        <v>326</v>
      </c>
    </row>
    <row r="262" spans="1:1" ht="15" customHeight="1" x14ac:dyDescent="0.45">
      <c r="A262" s="100" t="s">
        <v>327</v>
      </c>
    </row>
    <row r="263" spans="1:1" ht="15" customHeight="1" x14ac:dyDescent="0.45">
      <c r="A263" s="100" t="s">
        <v>328</v>
      </c>
    </row>
    <row r="264" spans="1:1" ht="15" customHeight="1" x14ac:dyDescent="0.45">
      <c r="A264" s="100" t="s">
        <v>329</v>
      </c>
    </row>
    <row r="265" spans="1:1" ht="15" customHeight="1" x14ac:dyDescent="0.45">
      <c r="A265" s="100" t="s">
        <v>330</v>
      </c>
    </row>
    <row r="266" spans="1:1" ht="15" customHeight="1" x14ac:dyDescent="0.45">
      <c r="A266" s="100" t="s">
        <v>331</v>
      </c>
    </row>
    <row r="267" spans="1:1" ht="15" customHeight="1" x14ac:dyDescent="0.45">
      <c r="A267" s="100" t="s">
        <v>332</v>
      </c>
    </row>
    <row r="268" spans="1:1" ht="15" customHeight="1" x14ac:dyDescent="0.45">
      <c r="A268" s="100" t="s">
        <v>333</v>
      </c>
    </row>
    <row r="269" spans="1:1" ht="15" customHeight="1" x14ac:dyDescent="0.45">
      <c r="A269" s="100" t="s">
        <v>334</v>
      </c>
    </row>
    <row r="270" spans="1:1" ht="15" customHeight="1" x14ac:dyDescent="0.45">
      <c r="A270" s="100" t="s">
        <v>335</v>
      </c>
    </row>
    <row r="271" spans="1:1" ht="15" customHeight="1" x14ac:dyDescent="0.45">
      <c r="A271" s="100" t="s">
        <v>317</v>
      </c>
    </row>
    <row r="272" spans="1:1" ht="15" customHeight="1" x14ac:dyDescent="0.45">
      <c r="A272" s="100" t="s">
        <v>336</v>
      </c>
    </row>
    <row r="273" spans="1:1" ht="15" customHeight="1" x14ac:dyDescent="0.45">
      <c r="A273" s="100" t="s">
        <v>337</v>
      </c>
    </row>
    <row r="274" spans="1:1" ht="15" customHeight="1" x14ac:dyDescent="0.45">
      <c r="A274" s="100"/>
    </row>
    <row r="275" spans="1:1" ht="15" customHeight="1" x14ac:dyDescent="0.45">
      <c r="A275" s="100" t="s">
        <v>338</v>
      </c>
    </row>
    <row r="276" spans="1:1" ht="15" customHeight="1" x14ac:dyDescent="0.45">
      <c r="A276" s="100" t="s">
        <v>339</v>
      </c>
    </row>
    <row r="277" spans="1:1" ht="15" customHeight="1" x14ac:dyDescent="0.45">
      <c r="A277" s="100" t="s">
        <v>340</v>
      </c>
    </row>
    <row r="278" spans="1:1" ht="15" customHeight="1" x14ac:dyDescent="0.45">
      <c r="A278" s="100" t="s">
        <v>341</v>
      </c>
    </row>
    <row r="279" spans="1:1" ht="15" customHeight="1" x14ac:dyDescent="0.45">
      <c r="A279" s="100" t="s">
        <v>342</v>
      </c>
    </row>
    <row r="280" spans="1:1" ht="15" customHeight="1" x14ac:dyDescent="0.45">
      <c r="A280" s="100" t="s">
        <v>343</v>
      </c>
    </row>
    <row r="281" spans="1:1" ht="15" customHeight="1" x14ac:dyDescent="0.45">
      <c r="A281" s="100" t="s">
        <v>344</v>
      </c>
    </row>
    <row r="282" spans="1:1" ht="15" customHeight="1" x14ac:dyDescent="0.45">
      <c r="A282" s="100" t="s">
        <v>345</v>
      </c>
    </row>
    <row r="283" spans="1:1" ht="15" customHeight="1" x14ac:dyDescent="0.45">
      <c r="A283" s="100" t="s">
        <v>346</v>
      </c>
    </row>
    <row r="284" spans="1:1" ht="15" customHeight="1" x14ac:dyDescent="0.45">
      <c r="A284" s="100" t="s">
        <v>347</v>
      </c>
    </row>
    <row r="285" spans="1:1" ht="15" customHeight="1" x14ac:dyDescent="0.45">
      <c r="A285" s="100" t="s">
        <v>348</v>
      </c>
    </row>
    <row r="286" spans="1:1" ht="15" customHeight="1" x14ac:dyDescent="0.45">
      <c r="A286" s="100" t="s">
        <v>349</v>
      </c>
    </row>
    <row r="287" spans="1:1" ht="15" customHeight="1" x14ac:dyDescent="0.45">
      <c r="A287" s="100" t="s">
        <v>350</v>
      </c>
    </row>
    <row r="288" spans="1:1" ht="15" customHeight="1" x14ac:dyDescent="0.45">
      <c r="A288" s="100" t="s">
        <v>156</v>
      </c>
    </row>
    <row r="289" spans="1:1" ht="15" customHeight="1" x14ac:dyDescent="0.45">
      <c r="A289" s="100" t="s">
        <v>351</v>
      </c>
    </row>
    <row r="290" spans="1:1" ht="15" customHeight="1" x14ac:dyDescent="0.45">
      <c r="A290" s="100" t="s">
        <v>352</v>
      </c>
    </row>
    <row r="291" spans="1:1" ht="15" customHeight="1" x14ac:dyDescent="0.45">
      <c r="A291" s="100" t="s">
        <v>353</v>
      </c>
    </row>
    <row r="292" spans="1:1" ht="15" customHeight="1" x14ac:dyDescent="0.45">
      <c r="A292" s="100" t="s">
        <v>354</v>
      </c>
    </row>
    <row r="293" spans="1:1" ht="15" customHeight="1" x14ac:dyDescent="0.45">
      <c r="A293" s="100" t="s">
        <v>355</v>
      </c>
    </row>
    <row r="294" spans="1:1" ht="15" customHeight="1" x14ac:dyDescent="0.45">
      <c r="A294" s="100" t="s">
        <v>356</v>
      </c>
    </row>
    <row r="295" spans="1:1" ht="15" customHeight="1" x14ac:dyDescent="0.45">
      <c r="A295" s="100" t="s">
        <v>357</v>
      </c>
    </row>
    <row r="296" spans="1:1" ht="15" customHeight="1" x14ac:dyDescent="0.45">
      <c r="A296" s="100" t="s">
        <v>358</v>
      </c>
    </row>
    <row r="297" spans="1:1" ht="15" customHeight="1" x14ac:dyDescent="0.45">
      <c r="A297" s="100" t="s">
        <v>359</v>
      </c>
    </row>
    <row r="298" spans="1:1" ht="15" customHeight="1" x14ac:dyDescent="0.45">
      <c r="A298" s="100" t="s">
        <v>360</v>
      </c>
    </row>
    <row r="299" spans="1:1" ht="15" customHeight="1" x14ac:dyDescent="0.45">
      <c r="A299" s="100" t="s">
        <v>361</v>
      </c>
    </row>
    <row r="300" spans="1:1" ht="15" customHeight="1" x14ac:dyDescent="0.45">
      <c r="A300" s="100" t="s">
        <v>337</v>
      </c>
    </row>
    <row r="301" spans="1:1" ht="15" customHeight="1" x14ac:dyDescent="0.45">
      <c r="A301" s="100" t="s">
        <v>362</v>
      </c>
    </row>
    <row r="302" spans="1:1" ht="15" customHeight="1" x14ac:dyDescent="0.45">
      <c r="A302" s="100"/>
    </row>
    <row r="303" spans="1:1" ht="15" customHeight="1" x14ac:dyDescent="0.45">
      <c r="A303" s="100" t="s">
        <v>363</v>
      </c>
    </row>
    <row r="304" spans="1:1" ht="15" customHeight="1" x14ac:dyDescent="0.45">
      <c r="A304" s="100" t="s">
        <v>364</v>
      </c>
    </row>
    <row r="305" spans="1:1" ht="15" customHeight="1" x14ac:dyDescent="0.45">
      <c r="A305" s="100" t="s">
        <v>365</v>
      </c>
    </row>
    <row r="306" spans="1:1" ht="15" customHeight="1" x14ac:dyDescent="0.45">
      <c r="A306" s="100" t="s">
        <v>366</v>
      </c>
    </row>
    <row r="307" spans="1:1" ht="15" customHeight="1" x14ac:dyDescent="0.45">
      <c r="A307" s="100" t="s">
        <v>367</v>
      </c>
    </row>
    <row r="308" spans="1:1" ht="15" customHeight="1" x14ac:dyDescent="0.45">
      <c r="A308" s="100" t="s">
        <v>368</v>
      </c>
    </row>
    <row r="309" spans="1:1" ht="15" customHeight="1" x14ac:dyDescent="0.45">
      <c r="A309" s="100" t="s">
        <v>369</v>
      </c>
    </row>
    <row r="310" spans="1:1" ht="15" customHeight="1" x14ac:dyDescent="0.45">
      <c r="A310" s="100" t="s">
        <v>370</v>
      </c>
    </row>
    <row r="311" spans="1:1" ht="15" customHeight="1" x14ac:dyDescent="0.45">
      <c r="A311" s="100" t="s">
        <v>371</v>
      </c>
    </row>
    <row r="312" spans="1:1" ht="15" customHeight="1" x14ac:dyDescent="0.45">
      <c r="A312" s="100" t="s">
        <v>372</v>
      </c>
    </row>
    <row r="313" spans="1:1" ht="15" customHeight="1" x14ac:dyDescent="0.45">
      <c r="A313" s="100" t="s">
        <v>373</v>
      </c>
    </row>
    <row r="314" spans="1:1" ht="15" customHeight="1" x14ac:dyDescent="0.45">
      <c r="A314" s="100" t="s">
        <v>374</v>
      </c>
    </row>
    <row r="315" spans="1:1" ht="15" customHeight="1" x14ac:dyDescent="0.45">
      <c r="A315" s="100" t="s">
        <v>375</v>
      </c>
    </row>
    <row r="316" spans="1:1" ht="15" customHeight="1" x14ac:dyDescent="0.45">
      <c r="A316" s="100" t="s">
        <v>376</v>
      </c>
    </row>
    <row r="317" spans="1:1" ht="15" customHeight="1" x14ac:dyDescent="0.45">
      <c r="A317" s="100" t="s">
        <v>377</v>
      </c>
    </row>
    <row r="318" spans="1:1" ht="15" customHeight="1" x14ac:dyDescent="0.45">
      <c r="A318" s="100" t="s">
        <v>378</v>
      </c>
    </row>
    <row r="319" spans="1:1" ht="15" customHeight="1" x14ac:dyDescent="0.45">
      <c r="A319" s="100"/>
    </row>
    <row r="320" spans="1:1" ht="15" customHeight="1" x14ac:dyDescent="0.45">
      <c r="A320" s="100" t="s">
        <v>379</v>
      </c>
    </row>
    <row r="321" spans="1:1" ht="15" customHeight="1" x14ac:dyDescent="0.45">
      <c r="A321" s="100" t="s">
        <v>380</v>
      </c>
    </row>
    <row r="322" spans="1:1" ht="15" customHeight="1" x14ac:dyDescent="0.45">
      <c r="A322" s="100" t="s">
        <v>381</v>
      </c>
    </row>
    <row r="323" spans="1:1" ht="15" customHeight="1" x14ac:dyDescent="0.45">
      <c r="A323" s="100" t="s">
        <v>382</v>
      </c>
    </row>
    <row r="324" spans="1:1" ht="15" customHeight="1" x14ac:dyDescent="0.45">
      <c r="A324" s="100" t="s">
        <v>383</v>
      </c>
    </row>
    <row r="325" spans="1:1" ht="15" customHeight="1" x14ac:dyDescent="0.45">
      <c r="A325" s="100"/>
    </row>
    <row r="326" spans="1:1" ht="15" customHeight="1" x14ac:dyDescent="0.45">
      <c r="A326" s="100" t="s">
        <v>384</v>
      </c>
    </row>
    <row r="327" spans="1:1" ht="15" customHeight="1" x14ac:dyDescent="0.45">
      <c r="A327" s="100" t="s">
        <v>385</v>
      </c>
    </row>
    <row r="328" spans="1:1" ht="15" customHeight="1" x14ac:dyDescent="0.45">
      <c r="A328" s="100" t="s">
        <v>386</v>
      </c>
    </row>
    <row r="329" spans="1:1" ht="15" customHeight="1" x14ac:dyDescent="0.45">
      <c r="A329" s="100" t="s">
        <v>387</v>
      </c>
    </row>
    <row r="330" spans="1:1" ht="15" customHeight="1" x14ac:dyDescent="0.45">
      <c r="A330" s="100" t="s">
        <v>388</v>
      </c>
    </row>
    <row r="331" spans="1:1" ht="15" customHeight="1" x14ac:dyDescent="0.45">
      <c r="A331" s="100" t="s">
        <v>389</v>
      </c>
    </row>
    <row r="332" spans="1:1" ht="15" customHeight="1" x14ac:dyDescent="0.45">
      <c r="A332" s="100" t="s">
        <v>390</v>
      </c>
    </row>
    <row r="333" spans="1:1" ht="15" customHeight="1" x14ac:dyDescent="0.45">
      <c r="A333" s="100" t="s">
        <v>391</v>
      </c>
    </row>
    <row r="334" spans="1:1" ht="15" customHeight="1" x14ac:dyDescent="0.45">
      <c r="A334" s="100" t="s">
        <v>392</v>
      </c>
    </row>
    <row r="335" spans="1:1" ht="15" customHeight="1" x14ac:dyDescent="0.45">
      <c r="A335" s="100" t="s">
        <v>393</v>
      </c>
    </row>
    <row r="336" spans="1:1" ht="15" customHeight="1" x14ac:dyDescent="0.45">
      <c r="A336" s="100" t="s">
        <v>394</v>
      </c>
    </row>
    <row r="337" spans="1:1" ht="15" customHeight="1" x14ac:dyDescent="0.45">
      <c r="A337" s="100" t="s">
        <v>395</v>
      </c>
    </row>
    <row r="338" spans="1:1" ht="15" customHeight="1" x14ac:dyDescent="0.45">
      <c r="A338" s="100" t="s">
        <v>396</v>
      </c>
    </row>
    <row r="339" spans="1:1" ht="15" customHeight="1" x14ac:dyDescent="0.45">
      <c r="A339" s="100"/>
    </row>
    <row r="340" spans="1:1" ht="15" customHeight="1" x14ac:dyDescent="0.45">
      <c r="A340" s="100" t="s">
        <v>397</v>
      </c>
    </row>
    <row r="341" spans="1:1" ht="15" customHeight="1" x14ac:dyDescent="0.45">
      <c r="A341" s="100" t="s">
        <v>398</v>
      </c>
    </row>
    <row r="342" spans="1:1" ht="15" customHeight="1" x14ac:dyDescent="0.45">
      <c r="A342" s="100" t="s">
        <v>399</v>
      </c>
    </row>
    <row r="343" spans="1:1" ht="15" customHeight="1" x14ac:dyDescent="0.45">
      <c r="A343" s="100" t="s">
        <v>400</v>
      </c>
    </row>
    <row r="344" spans="1:1" ht="15" customHeight="1" x14ac:dyDescent="0.45">
      <c r="A344" s="100" t="s">
        <v>401</v>
      </c>
    </row>
    <row r="345" spans="1:1" ht="15" customHeight="1" x14ac:dyDescent="0.45">
      <c r="A345" s="100"/>
    </row>
    <row r="346" spans="1:1" ht="15" customHeight="1" x14ac:dyDescent="0.45">
      <c r="A346" s="100" t="s">
        <v>402</v>
      </c>
    </row>
    <row r="347" spans="1:1" ht="15" customHeight="1" x14ac:dyDescent="0.45">
      <c r="A347" s="100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1"/>
  <sheetViews>
    <sheetView zoomScaleNormal="100" workbookViewId="0"/>
  </sheetViews>
  <sheetFormatPr baseColWidth="10" defaultColWidth="8.73046875" defaultRowHeight="14.25" x14ac:dyDescent="0.45"/>
  <cols>
    <col min="1" max="1" width="90" customWidth="1"/>
  </cols>
  <sheetData>
    <row r="1" spans="1:1" ht="17.25" customHeight="1" x14ac:dyDescent="0.55000000000000004">
      <c r="A1" s="102" t="s">
        <v>403</v>
      </c>
    </row>
    <row r="2" spans="1:1" ht="15" customHeight="1" x14ac:dyDescent="0.45">
      <c r="A2" s="103" t="s">
        <v>404</v>
      </c>
    </row>
    <row r="3" spans="1:1" ht="15" customHeight="1" x14ac:dyDescent="0.45">
      <c r="A3" s="104"/>
    </row>
    <row r="4" spans="1:1" ht="15" customHeight="1" x14ac:dyDescent="0.45">
      <c r="A4" s="105" t="s">
        <v>127</v>
      </c>
    </row>
    <row r="5" spans="1:1" ht="15" customHeight="1" x14ac:dyDescent="0.45">
      <c r="A5" s="106" t="s">
        <v>405</v>
      </c>
    </row>
    <row r="6" spans="1:1" ht="15" customHeight="1" x14ac:dyDescent="0.45">
      <c r="A6" s="105" t="s">
        <v>127</v>
      </c>
    </row>
    <row r="7" spans="1:1" ht="15" customHeight="1" x14ac:dyDescent="0.45">
      <c r="A7" s="104"/>
    </row>
    <row r="8" spans="1:1" ht="15" customHeight="1" x14ac:dyDescent="0.45">
      <c r="A8" s="97" t="s">
        <v>406</v>
      </c>
    </row>
    <row r="9" spans="1:1" ht="15" customHeight="1" x14ac:dyDescent="0.45">
      <c r="A9" s="97" t="s">
        <v>407</v>
      </c>
    </row>
    <row r="10" spans="1:1" ht="15" customHeight="1" x14ac:dyDescent="0.45">
      <c r="A10" s="97" t="s">
        <v>408</v>
      </c>
    </row>
    <row r="11" spans="1:1" ht="15" customHeight="1" x14ac:dyDescent="0.45">
      <c r="A11" s="97" t="s">
        <v>409</v>
      </c>
    </row>
    <row r="12" spans="1:1" ht="15" customHeight="1" x14ac:dyDescent="0.45">
      <c r="A12" s="97" t="s">
        <v>410</v>
      </c>
    </row>
    <row r="13" spans="1:1" ht="15" customHeight="1" x14ac:dyDescent="0.45">
      <c r="A13" s="97" t="s">
        <v>411</v>
      </c>
    </row>
    <row r="14" spans="1:1" ht="15" customHeight="1" x14ac:dyDescent="0.45">
      <c r="A14" s="97" t="s">
        <v>412</v>
      </c>
    </row>
    <row r="15" spans="1:1" ht="15" customHeight="1" x14ac:dyDescent="0.45">
      <c r="A15" s="97" t="s">
        <v>413</v>
      </c>
    </row>
    <row r="16" spans="1:1" ht="15" customHeight="1" x14ac:dyDescent="0.45">
      <c r="A16" s="104"/>
    </row>
    <row r="17" spans="1:1" ht="15" customHeight="1" x14ac:dyDescent="0.45">
      <c r="A17" s="105" t="s">
        <v>127</v>
      </c>
    </row>
    <row r="18" spans="1:1" ht="15" customHeight="1" x14ac:dyDescent="0.45">
      <c r="A18" s="106" t="s">
        <v>414</v>
      </c>
    </row>
    <row r="19" spans="1:1" ht="15" customHeight="1" x14ac:dyDescent="0.45">
      <c r="A19" s="105" t="s">
        <v>127</v>
      </c>
    </row>
    <row r="20" spans="1:1" ht="15" customHeight="1" x14ac:dyDescent="0.45">
      <c r="A20" s="104"/>
    </row>
    <row r="21" spans="1:1" ht="15" customHeight="1" x14ac:dyDescent="0.45">
      <c r="A21" s="97" t="s">
        <v>415</v>
      </c>
    </row>
    <row r="22" spans="1:1" ht="15" customHeight="1" x14ac:dyDescent="0.45">
      <c r="A22" s="97" t="s">
        <v>416</v>
      </c>
    </row>
    <row r="23" spans="1:1" ht="15" customHeight="1" x14ac:dyDescent="0.45">
      <c r="A23" s="97" t="s">
        <v>417</v>
      </c>
    </row>
    <row r="24" spans="1:1" ht="15" customHeight="1" x14ac:dyDescent="0.45">
      <c r="A24" s="107" t="s">
        <v>418</v>
      </c>
    </row>
    <row r="25" spans="1:1" ht="15" customHeight="1" x14ac:dyDescent="0.45">
      <c r="A25" s="97" t="s">
        <v>419</v>
      </c>
    </row>
    <row r="26" spans="1:1" ht="15" customHeight="1" x14ac:dyDescent="0.45">
      <c r="A26" s="107" t="s">
        <v>420</v>
      </c>
    </row>
    <row r="27" spans="1:1" ht="15" customHeight="1" x14ac:dyDescent="0.45">
      <c r="A27" s="104"/>
    </row>
    <row r="28" spans="1:1" ht="15" customHeight="1" x14ac:dyDescent="0.45">
      <c r="A28" s="108" t="s">
        <v>421</v>
      </c>
    </row>
    <row r="29" spans="1:1" ht="15" customHeight="1" x14ac:dyDescent="0.45">
      <c r="A29" s="97" t="s">
        <v>422</v>
      </c>
    </row>
    <row r="30" spans="1:1" ht="15" customHeight="1" x14ac:dyDescent="0.45">
      <c r="A30" s="97" t="s">
        <v>423</v>
      </c>
    </row>
    <row r="31" spans="1:1" ht="15" customHeight="1" x14ac:dyDescent="0.45">
      <c r="A31" s="104"/>
    </row>
    <row r="32" spans="1:1" ht="15" customHeight="1" x14ac:dyDescent="0.45">
      <c r="A32" s="105" t="s">
        <v>127</v>
      </c>
    </row>
    <row r="33" spans="1:1" ht="15" customHeight="1" x14ac:dyDescent="0.45">
      <c r="A33" s="106" t="s">
        <v>424</v>
      </c>
    </row>
    <row r="34" spans="1:1" ht="15" customHeight="1" x14ac:dyDescent="0.45">
      <c r="A34" s="105" t="s">
        <v>127</v>
      </c>
    </row>
    <row r="35" spans="1:1" ht="15" customHeight="1" x14ac:dyDescent="0.45">
      <c r="A35" s="104"/>
    </row>
    <row r="36" spans="1:1" ht="15" customHeight="1" x14ac:dyDescent="0.45">
      <c r="A36" s="98" t="s">
        <v>425</v>
      </c>
    </row>
    <row r="37" spans="1:1" ht="15" customHeight="1" x14ac:dyDescent="0.45">
      <c r="A37" s="97" t="s">
        <v>426</v>
      </c>
    </row>
    <row r="38" spans="1:1" ht="15" customHeight="1" x14ac:dyDescent="0.45">
      <c r="A38" s="97" t="s">
        <v>427</v>
      </c>
    </row>
    <row r="39" spans="1:1" ht="15" customHeight="1" x14ac:dyDescent="0.45">
      <c r="A39" s="104"/>
    </row>
    <row r="40" spans="1:1" ht="15" customHeight="1" x14ac:dyDescent="0.45">
      <c r="A40" s="98" t="s">
        <v>428</v>
      </c>
    </row>
    <row r="41" spans="1:1" ht="15" customHeight="1" x14ac:dyDescent="0.45">
      <c r="A41" s="97" t="s">
        <v>429</v>
      </c>
    </row>
    <row r="42" spans="1:1" ht="15" customHeight="1" x14ac:dyDescent="0.45">
      <c r="A42" s="97" t="s">
        <v>430</v>
      </c>
    </row>
    <row r="43" spans="1:1" ht="15" customHeight="1" x14ac:dyDescent="0.45">
      <c r="A43" s="104"/>
    </row>
    <row r="44" spans="1:1" ht="15" customHeight="1" x14ac:dyDescent="0.45">
      <c r="A44" s="105" t="s">
        <v>127</v>
      </c>
    </row>
    <row r="45" spans="1:1" ht="15" customHeight="1" x14ac:dyDescent="0.45">
      <c r="A45" s="106" t="s">
        <v>431</v>
      </c>
    </row>
    <row r="46" spans="1:1" ht="15" customHeight="1" x14ac:dyDescent="0.45">
      <c r="A46" s="105" t="s">
        <v>127</v>
      </c>
    </row>
    <row r="47" spans="1:1" ht="15" customHeight="1" x14ac:dyDescent="0.45">
      <c r="A47" s="104"/>
    </row>
    <row r="48" spans="1:1" ht="15" customHeight="1" x14ac:dyDescent="0.45">
      <c r="A48" s="97" t="s">
        <v>432</v>
      </c>
    </row>
    <row r="49" spans="1:1" ht="15" customHeight="1" x14ac:dyDescent="0.45">
      <c r="A49" s="97" t="s">
        <v>433</v>
      </c>
    </row>
    <row r="50" spans="1:1" ht="15" customHeight="1" x14ac:dyDescent="0.45">
      <c r="A50" s="109" t="s">
        <v>434</v>
      </c>
    </row>
    <row r="51" spans="1:1" ht="15" customHeight="1" x14ac:dyDescent="0.45">
      <c r="A51" s="104"/>
    </row>
    <row r="52" spans="1:1" ht="15" customHeight="1" x14ac:dyDescent="0.45">
      <c r="A52" s="105" t="s">
        <v>127</v>
      </c>
    </row>
    <row r="53" spans="1:1" ht="15" customHeight="1" x14ac:dyDescent="0.45">
      <c r="A53" s="106" t="s">
        <v>435</v>
      </c>
    </row>
    <row r="54" spans="1:1" ht="15" customHeight="1" x14ac:dyDescent="0.45">
      <c r="A54" s="105" t="s">
        <v>127</v>
      </c>
    </row>
    <row r="55" spans="1:1" ht="15" customHeight="1" x14ac:dyDescent="0.45">
      <c r="A55" s="104"/>
    </row>
    <row r="56" spans="1:1" ht="15" customHeight="1" x14ac:dyDescent="0.45">
      <c r="A56" s="97" t="s">
        <v>436</v>
      </c>
    </row>
    <row r="57" spans="1:1" ht="15" customHeight="1" x14ac:dyDescent="0.45">
      <c r="A57" s="97" t="s">
        <v>437</v>
      </c>
    </row>
    <row r="58" spans="1:1" ht="15" customHeight="1" x14ac:dyDescent="0.45">
      <c r="A58" s="97" t="s">
        <v>438</v>
      </c>
    </row>
    <row r="59" spans="1:1" ht="15" customHeight="1" x14ac:dyDescent="0.45">
      <c r="A59" s="97" t="s">
        <v>439</v>
      </c>
    </row>
    <row r="60" spans="1:1" ht="15" customHeight="1" x14ac:dyDescent="0.45">
      <c r="A60" s="97" t="s">
        <v>440</v>
      </c>
    </row>
    <row r="61" spans="1:1" ht="15" customHeight="1" x14ac:dyDescent="0.45">
      <c r="A61" s="97" t="s">
        <v>441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topLeftCell="B48" zoomScaleNormal="100" workbookViewId="0">
      <selection activeCell="D63" sqref="D63"/>
    </sheetView>
  </sheetViews>
  <sheetFormatPr baseColWidth="10" defaultColWidth="11.3984375" defaultRowHeight="14.25" x14ac:dyDescent="0.45"/>
  <cols>
    <col min="1" max="4" width="26.73046875" customWidth="1"/>
    <col min="6" max="7" width="36.73046875" customWidth="1"/>
  </cols>
  <sheetData>
    <row r="1" spans="1:7" ht="15" customHeight="1" x14ac:dyDescent="0.45">
      <c r="A1" s="110" t="s">
        <v>45</v>
      </c>
      <c r="B1" s="110" t="s">
        <v>12</v>
      </c>
      <c r="C1" s="110" t="s">
        <v>11</v>
      </c>
      <c r="D1" s="110" t="s">
        <v>10</v>
      </c>
      <c r="F1" s="110" t="s">
        <v>442</v>
      </c>
      <c r="G1" s="110" t="s">
        <v>443</v>
      </c>
    </row>
    <row r="2" spans="1:7" ht="15" customHeight="1" x14ac:dyDescent="0.45">
      <c r="A2" t="s">
        <v>84</v>
      </c>
      <c r="B2" t="s">
        <v>21</v>
      </c>
      <c r="C2" t="s">
        <v>87</v>
      </c>
      <c r="D2" t="s">
        <v>55</v>
      </c>
      <c r="F2" t="s">
        <v>444</v>
      </c>
      <c r="G2" t="s">
        <v>55</v>
      </c>
    </row>
    <row r="3" spans="1:7" ht="15" customHeight="1" x14ac:dyDescent="0.45">
      <c r="A3" t="s">
        <v>96</v>
      </c>
      <c r="B3" t="s">
        <v>22</v>
      </c>
      <c r="C3" t="s">
        <v>445</v>
      </c>
      <c r="D3" t="s">
        <v>61</v>
      </c>
      <c r="F3" t="s">
        <v>446</v>
      </c>
      <c r="G3" t="s">
        <v>61</v>
      </c>
    </row>
    <row r="4" spans="1:7" ht="15" customHeight="1" x14ac:dyDescent="0.45">
      <c r="A4" t="s">
        <v>59</v>
      </c>
      <c r="B4" t="s">
        <v>23</v>
      </c>
      <c r="C4" t="s">
        <v>447</v>
      </c>
      <c r="D4" t="s">
        <v>67</v>
      </c>
      <c r="F4" t="s">
        <v>448</v>
      </c>
      <c r="G4" t="s">
        <v>449</v>
      </c>
    </row>
    <row r="5" spans="1:7" ht="15" customHeight="1" x14ac:dyDescent="0.45">
      <c r="A5" t="s">
        <v>450</v>
      </c>
      <c r="B5" t="s">
        <v>24</v>
      </c>
      <c r="C5" t="s">
        <v>451</v>
      </c>
      <c r="D5" t="s">
        <v>71</v>
      </c>
      <c r="F5" t="s">
        <v>452</v>
      </c>
      <c r="G5" t="s">
        <v>453</v>
      </c>
    </row>
    <row r="6" spans="1:7" ht="15" customHeight="1" x14ac:dyDescent="0.45">
      <c r="A6" t="s">
        <v>105</v>
      </c>
      <c r="B6" t="s">
        <v>25</v>
      </c>
      <c r="C6" t="s">
        <v>90</v>
      </c>
      <c r="D6" t="s">
        <v>81</v>
      </c>
      <c r="F6" t="s">
        <v>454</v>
      </c>
    </row>
    <row r="7" spans="1:7" ht="15" customHeight="1" x14ac:dyDescent="0.45">
      <c r="A7" t="s">
        <v>455</v>
      </c>
      <c r="B7" t="s">
        <v>26</v>
      </c>
      <c r="C7" t="s">
        <v>456</v>
      </c>
      <c r="D7" t="s">
        <v>108</v>
      </c>
      <c r="F7" t="s">
        <v>457</v>
      </c>
      <c r="G7" t="s">
        <v>108</v>
      </c>
    </row>
    <row r="8" spans="1:7" ht="15" customHeight="1" x14ac:dyDescent="0.45">
      <c r="A8" t="s">
        <v>458</v>
      </c>
      <c r="B8" t="s">
        <v>459</v>
      </c>
      <c r="C8" t="s">
        <v>460</v>
      </c>
      <c r="D8" t="s">
        <v>86</v>
      </c>
      <c r="F8" t="s">
        <v>81</v>
      </c>
      <c r="G8" t="s">
        <v>81</v>
      </c>
    </row>
    <row r="9" spans="1:7" ht="15" customHeight="1" x14ac:dyDescent="0.45">
      <c r="A9" t="s">
        <v>461</v>
      </c>
      <c r="B9" t="s">
        <v>27</v>
      </c>
      <c r="C9" t="s">
        <v>462</v>
      </c>
      <c r="D9" t="s">
        <v>89</v>
      </c>
      <c r="F9" t="s">
        <v>463</v>
      </c>
    </row>
    <row r="10" spans="1:7" ht="15" customHeight="1" x14ac:dyDescent="0.45">
      <c r="A10" t="s">
        <v>464</v>
      </c>
      <c r="B10" t="s">
        <v>28</v>
      </c>
      <c r="C10" t="s">
        <v>465</v>
      </c>
      <c r="D10" t="s">
        <v>94</v>
      </c>
    </row>
    <row r="11" spans="1:7" ht="15" customHeight="1" x14ac:dyDescent="0.45">
      <c r="A11" t="s">
        <v>466</v>
      </c>
      <c r="B11" t="s">
        <v>29</v>
      </c>
      <c r="C11" t="s">
        <v>467</v>
      </c>
      <c r="D11" t="s">
        <v>98</v>
      </c>
    </row>
    <row r="12" spans="1:7" ht="15" customHeight="1" x14ac:dyDescent="0.45">
      <c r="C12" t="s">
        <v>56</v>
      </c>
      <c r="D12" t="s">
        <v>103</v>
      </c>
    </row>
    <row r="13" spans="1:7" ht="15" customHeight="1" x14ac:dyDescent="0.45">
      <c r="C13" t="s">
        <v>62</v>
      </c>
      <c r="D13" t="s">
        <v>114</v>
      </c>
    </row>
    <row r="14" spans="1:7" ht="15" customHeight="1" x14ac:dyDescent="0.45">
      <c r="C14" t="s">
        <v>468</v>
      </c>
      <c r="D14" t="s">
        <v>469</v>
      </c>
    </row>
    <row r="15" spans="1:7" ht="15" customHeight="1" x14ac:dyDescent="0.45">
      <c r="C15" t="s">
        <v>470</v>
      </c>
      <c r="D15" t="s">
        <v>471</v>
      </c>
    </row>
    <row r="16" spans="1:7" ht="15" customHeight="1" x14ac:dyDescent="0.45">
      <c r="C16" t="s">
        <v>472</v>
      </c>
      <c r="D16" t="s">
        <v>473</v>
      </c>
    </row>
    <row r="17" spans="3:3" ht="15" customHeight="1" x14ac:dyDescent="0.45">
      <c r="C17" t="s">
        <v>82</v>
      </c>
    </row>
    <row r="18" spans="3:3" ht="15" customHeight="1" x14ac:dyDescent="0.45">
      <c r="C18" t="s">
        <v>474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B82F6"/>
  </sheetPr>
  <dimension ref="A1:J38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73046875" defaultRowHeight="14.25" x14ac:dyDescent="0.45"/>
  <cols>
    <col min="1" max="1" width="5" customWidth="1"/>
    <col min="2" max="2" width="28" customWidth="1"/>
    <col min="3" max="3" width="14" customWidth="1"/>
    <col min="4" max="4" width="36" customWidth="1"/>
    <col min="5" max="5" width="16" customWidth="1"/>
    <col min="6" max="6" width="18" customWidth="1"/>
    <col min="7" max="8" width="14" customWidth="1"/>
    <col min="9" max="9" width="16" customWidth="1"/>
  </cols>
  <sheetData>
    <row r="1" spans="1:9" ht="36" customHeight="1" x14ac:dyDescent="0.45">
      <c r="A1" s="162" t="s">
        <v>475</v>
      </c>
      <c r="B1" s="140"/>
      <c r="C1" s="140"/>
      <c r="D1" s="140"/>
      <c r="E1" s="140"/>
      <c r="F1" s="140"/>
      <c r="G1" s="140"/>
      <c r="H1" s="140"/>
      <c r="I1" s="140"/>
    </row>
    <row r="3" spans="1:9" ht="15" customHeight="1" x14ac:dyDescent="0.45">
      <c r="A3" s="111" t="s">
        <v>9</v>
      </c>
      <c r="B3" s="111" t="s">
        <v>10</v>
      </c>
      <c r="C3" s="111" t="s">
        <v>476</v>
      </c>
      <c r="D3" s="111" t="s">
        <v>477</v>
      </c>
      <c r="E3" s="111" t="s">
        <v>11</v>
      </c>
      <c r="F3" s="111" t="s">
        <v>478</v>
      </c>
      <c r="G3" s="111" t="s">
        <v>12</v>
      </c>
      <c r="H3" s="111" t="s">
        <v>479</v>
      </c>
      <c r="I3" s="111" t="s">
        <v>45</v>
      </c>
    </row>
    <row r="4" spans="1:9" ht="15" customHeight="1" x14ac:dyDescent="0.45">
      <c r="A4" s="112">
        <v>1</v>
      </c>
      <c r="B4" s="112" t="s">
        <v>444</v>
      </c>
      <c r="C4" s="112" t="s">
        <v>480</v>
      </c>
      <c r="D4" s="112" t="s">
        <v>481</v>
      </c>
      <c r="E4" s="112" t="s">
        <v>56</v>
      </c>
      <c r="F4" s="113">
        <f>IFERROR(SUMIF('MD Register'!$B$5:$B$20,VLOOKUP(B4,Lists!$F$2:$G$8,2,FALSE()),'MD Register'!$F$5:$F$20),0)</f>
        <v>82934896</v>
      </c>
      <c r="G4" s="112" t="s">
        <v>22</v>
      </c>
      <c r="H4" s="112" t="s">
        <v>482</v>
      </c>
      <c r="I4" s="112" t="str">
        <f>IFERROR(IF(SUMIF('MD Register'!$B$5:$B$70,VLOOKUP(B4,Lists!$F$2:$G$8,2,FALSE()),'MD Register'!$V$5:$V$70)=0,IF(SUMIF('MD Register'!$B$5:$B$70,VLOOKUP(B4,Lists!$F$2:$G$8,2,FALSE()),'MD Register'!$F$5:$F$70)=0,"TBC","PENDING"),IF(SUMIF('MD Register'!$B$5:$B$70,VLOOKUP(B4,Lists!$F$2:$G$8,2,FALSE()),'MD Register'!$W$5:$W$70)&lt;=0,"Closed","Active")),"TBC")</f>
        <v>Active</v>
      </c>
    </row>
    <row r="5" spans="1:9" ht="15" customHeight="1" x14ac:dyDescent="0.45">
      <c r="A5" s="112">
        <v>2</v>
      </c>
      <c r="B5" s="112" t="s">
        <v>446</v>
      </c>
      <c r="C5" s="112" t="s">
        <v>480</v>
      </c>
      <c r="D5" s="112" t="s">
        <v>483</v>
      </c>
      <c r="E5" s="112" t="s">
        <v>62</v>
      </c>
      <c r="F5" s="113">
        <f>IFERROR(SUMIF('MD Register'!$B$5:$B$20,VLOOKUP(B5,Lists!$F$2:$G$8,2,FALSE()),'MD Register'!$F$5:$F$20),0)</f>
        <v>454196669.95999998</v>
      </c>
      <c r="G5" s="112" t="s">
        <v>21</v>
      </c>
      <c r="H5" s="112" t="s">
        <v>484</v>
      </c>
      <c r="I5" s="112" t="str">
        <f>IFERROR(IF(SUMIF('MD Register'!$B$5:$B$70,VLOOKUP(B5,Lists!$F$2:$G$8,2,FALSE()),'MD Register'!$V$5:$V$70)=0,IF(SUMIF('MD Register'!$B$5:$B$70,VLOOKUP(B5,Lists!$F$2:$G$8,2,FALSE()),'MD Register'!$F$5:$F$70)=0,"TBC","PENDING"),IF(SUMIF('MD Register'!$B$5:$B$70,VLOOKUP(B5,Lists!$F$2:$G$8,2,FALSE()),'MD Register'!$W$5:$W$70)&lt;=0,"Closed","Active")),"TBC")</f>
        <v>Active</v>
      </c>
    </row>
    <row r="6" spans="1:9" ht="15" customHeight="1" x14ac:dyDescent="0.45">
      <c r="A6" s="112">
        <v>3</v>
      </c>
      <c r="B6" s="112" t="s">
        <v>448</v>
      </c>
      <c r="C6" s="112" t="s">
        <v>480</v>
      </c>
      <c r="D6" s="112" t="s">
        <v>485</v>
      </c>
      <c r="E6" s="112" t="s">
        <v>468</v>
      </c>
      <c r="F6" s="113">
        <f>IFERROR(SUMIF('MD Register'!$B$5:$B$20,VLOOKUP(B6,Lists!$F$2:$G$8,2,FALSE()),'MD Register'!$F$5:$F$20),0)</f>
        <v>0</v>
      </c>
      <c r="G6" s="112" t="s">
        <v>22</v>
      </c>
      <c r="H6" s="112" t="s">
        <v>482</v>
      </c>
      <c r="I6" s="112" t="str">
        <f>IFERROR(IF(SUMIF('MD Register'!$B$5:$B$70,VLOOKUP(B6,Lists!$F$2:$G$8,2,FALSE()),'MD Register'!$V$5:$V$70)=0,IF(SUMIF('MD Register'!$B$5:$B$70,VLOOKUP(B6,Lists!$F$2:$G$8,2,FALSE()),'MD Register'!$F$5:$F$70)=0,"TBC","PENDING"),IF(SUMIF('MD Register'!$B$5:$B$70,VLOOKUP(B6,Lists!$F$2:$G$8,2,FALSE()),'MD Register'!$W$5:$W$70)&lt;=0,"Closed","Active")),"TBC")</f>
        <v>TBC</v>
      </c>
    </row>
    <row r="7" spans="1:9" ht="15" customHeight="1" x14ac:dyDescent="0.45">
      <c r="A7" s="112">
        <v>4</v>
      </c>
      <c r="B7" s="112" t="s">
        <v>452</v>
      </c>
      <c r="C7" s="112" t="s">
        <v>480</v>
      </c>
      <c r="D7" s="112" t="s">
        <v>486</v>
      </c>
      <c r="E7" s="112" t="s">
        <v>470</v>
      </c>
      <c r="F7" s="114">
        <f>IFERROR(SUMIF('MD Register'!$B$5:$B$20,VLOOKUP(B7,Lists!$F$2:$G$8,2,FALSE()),'MD Register'!$F$5:$F$20),0)</f>
        <v>0</v>
      </c>
      <c r="G7" s="112" t="s">
        <v>22</v>
      </c>
      <c r="H7" s="112" t="s">
        <v>482</v>
      </c>
      <c r="I7" s="112" t="str">
        <f>IFERROR(IF(SUMIF('MD Register'!$B$5:$B$70,VLOOKUP(B7,Lists!$F$2:$G$8,2,FALSE()),'MD Register'!$V$5:$V$70)=0,IF(SUMIF('MD Register'!$B$5:$B$70,VLOOKUP(B7,Lists!$F$2:$G$8,2,FALSE()),'MD Register'!$F$5:$F$70)=0,"TBC","PENDING"),IF(SUMIF('MD Register'!$B$5:$B$70,VLOOKUP(B7,Lists!$F$2:$G$8,2,FALSE()),'MD Register'!$W$5:$W$70)&lt;=0,"Closed","Active")),"TBC")</f>
        <v>TBC</v>
      </c>
    </row>
    <row r="8" spans="1:9" ht="15" customHeight="1" x14ac:dyDescent="0.45">
      <c r="A8" s="112">
        <v>5</v>
      </c>
      <c r="B8" s="112" t="s">
        <v>454</v>
      </c>
      <c r="C8" s="112" t="s">
        <v>487</v>
      </c>
      <c r="D8" s="112" t="s">
        <v>488</v>
      </c>
      <c r="E8" s="112" t="s">
        <v>472</v>
      </c>
      <c r="F8" s="113">
        <f>IFERROR(SUMIF('MD Register'!$B$5:$B$20,VLOOKUP(B8,Lists!$F$2:$G$8,2,FALSE()),'MD Register'!$F$5:$F$20),0)</f>
        <v>0</v>
      </c>
      <c r="G8" s="112" t="s">
        <v>22</v>
      </c>
      <c r="H8" s="112" t="s">
        <v>482</v>
      </c>
      <c r="I8" s="112" t="str">
        <f>IFERROR(IF(SUMIF('MD Register'!$B$5:$B$70,VLOOKUP(B8,Lists!$F$2:$G$8,2,FALSE()),'MD Register'!$V$5:$V$70)=0,IF(SUMIF('MD Register'!$B$5:$B$70,VLOOKUP(B8,Lists!$F$2:$G$8,2,FALSE()),'MD Register'!$F$5:$F$70)=0,"TBC","PENDING"),IF(SUMIF('MD Register'!$B$5:$B$70,VLOOKUP(B8,Lists!$F$2:$G$8,2,FALSE()),'MD Register'!$W$5:$W$70)&lt;=0,"Closed","Active")),"TBC")</f>
        <v>TBC</v>
      </c>
    </row>
    <row r="9" spans="1:9" ht="15" customHeight="1" x14ac:dyDescent="0.45">
      <c r="A9" s="112">
        <v>6</v>
      </c>
      <c r="B9" s="112" t="s">
        <v>457</v>
      </c>
      <c r="C9" s="112" t="s">
        <v>489</v>
      </c>
      <c r="D9" s="112" t="s">
        <v>490</v>
      </c>
      <c r="E9" s="112" t="s">
        <v>82</v>
      </c>
      <c r="F9" s="113">
        <f>IFERROR(SUMIF('MD Register'!$B$5:$B$20,VLOOKUP(B9,Lists!$F$2:$G$8,2,FALSE()),'MD Register'!$F$5:$F$20),0)</f>
        <v>0</v>
      </c>
      <c r="G9" s="112" t="s">
        <v>22</v>
      </c>
      <c r="H9" s="112" t="s">
        <v>491</v>
      </c>
      <c r="I9" s="112" t="str">
        <f>IFERROR(IF(SUMIF('MD Register'!$B$5:$B$70,VLOOKUP(B9,Lists!$F$2:$G$8,2,FALSE()),'MD Register'!$V$5:$V$70)=0,IF(SUMIF('MD Register'!$B$5:$B$70,VLOOKUP(B9,Lists!$F$2:$G$8,2,FALSE()),'MD Register'!$F$5:$F$70)=0,"TBC","PENDING"),IF(SUMIF('MD Register'!$B$5:$B$70,VLOOKUP(B9,Lists!$F$2:$G$8,2,FALSE()),'MD Register'!$W$5:$W$70)&lt;=0,"Closed","Active")),"TBC")</f>
        <v>Closed</v>
      </c>
    </row>
    <row r="10" spans="1:9" ht="15" customHeight="1" x14ac:dyDescent="0.45">
      <c r="A10" s="112">
        <v>7</v>
      </c>
      <c r="B10" s="112" t="s">
        <v>81</v>
      </c>
      <c r="C10" s="112" t="s">
        <v>492</v>
      </c>
      <c r="D10" s="112" t="s">
        <v>490</v>
      </c>
      <c r="E10" s="112" t="s">
        <v>82</v>
      </c>
      <c r="F10" s="113">
        <f>IFERROR(SUMIF('MD Register'!$B$5:$B$20,VLOOKUP(B10,Lists!$F$2:$G$8,2,FALSE()),'MD Register'!$F$5:$F$20),0)</f>
        <v>11750000</v>
      </c>
      <c r="G10" s="112" t="s">
        <v>22</v>
      </c>
      <c r="H10" s="112" t="s">
        <v>491</v>
      </c>
      <c r="I10" s="112" t="str">
        <f>IFERROR(IF(SUMIF('MD Register'!$B$5:$B$70,VLOOKUP(B10,Lists!$F$2:$G$8,2,FALSE()),'MD Register'!$V$5:$V$70)=0,IF(SUMIF('MD Register'!$B$5:$B$70,VLOOKUP(B10,Lists!$F$2:$G$8,2,FALSE()),'MD Register'!$F$5:$F$70)=0,"TBC","PENDING"),IF(SUMIF('MD Register'!$B$5:$B$70,VLOOKUP(B10,Lists!$F$2:$G$8,2,FALSE()),'MD Register'!$W$5:$W$70)&lt;=0,"Closed","Active")),"TBC")</f>
        <v>Closed</v>
      </c>
    </row>
    <row r="11" spans="1:9" ht="25.5" customHeight="1" x14ac:dyDescent="0.45">
      <c r="A11" s="172" t="s">
        <v>493</v>
      </c>
      <c r="B11" s="140"/>
      <c r="C11" s="140"/>
      <c r="D11" s="140"/>
      <c r="E11" s="140"/>
      <c r="F11" s="140"/>
      <c r="G11" s="140"/>
      <c r="H11" s="140"/>
      <c r="I11" s="140"/>
    </row>
    <row r="12" spans="1:9" ht="15" customHeight="1" x14ac:dyDescent="0.45">
      <c r="A12" s="115">
        <v>8</v>
      </c>
      <c r="B12" s="115" t="s">
        <v>494</v>
      </c>
      <c r="C12" s="115" t="s">
        <v>90</v>
      </c>
      <c r="D12" s="115" t="s">
        <v>495</v>
      </c>
      <c r="E12" s="115" t="s">
        <v>474</v>
      </c>
      <c r="F12" s="113"/>
      <c r="G12" s="115" t="s">
        <v>21</v>
      </c>
      <c r="H12" s="115" t="s">
        <v>85</v>
      </c>
      <c r="I12" s="115" t="s">
        <v>461</v>
      </c>
    </row>
    <row r="13" spans="1:9" ht="15" customHeight="1" x14ac:dyDescent="0.45">
      <c r="A13" s="115">
        <v>9</v>
      </c>
      <c r="B13" s="115" t="s">
        <v>494</v>
      </c>
      <c r="C13" s="115" t="s">
        <v>90</v>
      </c>
      <c r="D13" s="115" t="s">
        <v>495</v>
      </c>
      <c r="E13" s="115" t="s">
        <v>474</v>
      </c>
      <c r="F13" s="113"/>
      <c r="G13" s="115" t="s">
        <v>23</v>
      </c>
      <c r="H13" s="115" t="s">
        <v>85</v>
      </c>
      <c r="I13" s="115" t="s">
        <v>461</v>
      </c>
    </row>
    <row r="14" spans="1:9" ht="15" customHeight="1" x14ac:dyDescent="0.45">
      <c r="A14" s="115">
        <v>10</v>
      </c>
      <c r="B14" s="115" t="s">
        <v>494</v>
      </c>
      <c r="C14" s="115" t="s">
        <v>90</v>
      </c>
      <c r="D14" s="115" t="s">
        <v>495</v>
      </c>
      <c r="E14" s="115" t="s">
        <v>474</v>
      </c>
      <c r="F14" s="113"/>
      <c r="G14" s="115" t="s">
        <v>24</v>
      </c>
      <c r="H14" s="115" t="s">
        <v>85</v>
      </c>
      <c r="I14" s="115" t="s">
        <v>461</v>
      </c>
    </row>
    <row r="15" spans="1:9" ht="15" customHeight="1" x14ac:dyDescent="0.45">
      <c r="A15" s="115">
        <v>11</v>
      </c>
      <c r="B15" s="115" t="s">
        <v>494</v>
      </c>
      <c r="C15" s="115" t="s">
        <v>90</v>
      </c>
      <c r="D15" s="115" t="s">
        <v>495</v>
      </c>
      <c r="E15" s="115" t="s">
        <v>474</v>
      </c>
      <c r="F15" s="113"/>
      <c r="G15" s="115" t="s">
        <v>25</v>
      </c>
      <c r="H15" s="115" t="s">
        <v>85</v>
      </c>
      <c r="I15" s="115" t="s">
        <v>461</v>
      </c>
    </row>
    <row r="16" spans="1:9" ht="15" customHeight="1" x14ac:dyDescent="0.45">
      <c r="A16" s="115">
        <v>12</v>
      </c>
      <c r="B16" s="115" t="s">
        <v>494</v>
      </c>
      <c r="C16" s="115" t="s">
        <v>90</v>
      </c>
      <c r="D16" s="115" t="s">
        <v>495</v>
      </c>
      <c r="E16" s="115" t="s">
        <v>474</v>
      </c>
      <c r="F16" s="113"/>
      <c r="G16" s="115" t="s">
        <v>26</v>
      </c>
      <c r="H16" s="115" t="s">
        <v>85</v>
      </c>
      <c r="I16" s="115" t="s">
        <v>461</v>
      </c>
    </row>
    <row r="17" spans="1:9" ht="15" customHeight="1" x14ac:dyDescent="0.45">
      <c r="A17" s="115">
        <v>13</v>
      </c>
      <c r="B17" s="115" t="s">
        <v>494</v>
      </c>
      <c r="C17" s="115" t="s">
        <v>90</v>
      </c>
      <c r="D17" s="115" t="s">
        <v>495</v>
      </c>
      <c r="E17" s="115" t="s">
        <v>474</v>
      </c>
      <c r="F17" s="113"/>
      <c r="G17" s="115" t="s">
        <v>27</v>
      </c>
      <c r="H17" s="115" t="s">
        <v>85</v>
      </c>
      <c r="I17" s="115" t="s">
        <v>461</v>
      </c>
    </row>
    <row r="18" spans="1:9" ht="15" customHeight="1" x14ac:dyDescent="0.45">
      <c r="A18" s="115">
        <v>14</v>
      </c>
      <c r="B18" s="115" t="s">
        <v>494</v>
      </c>
      <c r="C18" s="115" t="s">
        <v>90</v>
      </c>
      <c r="D18" s="115" t="s">
        <v>495</v>
      </c>
      <c r="E18" s="115" t="s">
        <v>474</v>
      </c>
      <c r="F18" s="113"/>
      <c r="G18" s="115" t="s">
        <v>28</v>
      </c>
      <c r="H18" s="115" t="s">
        <v>85</v>
      </c>
      <c r="I18" s="115" t="s">
        <v>461</v>
      </c>
    </row>
    <row r="19" spans="1:9" ht="15" customHeight="1" x14ac:dyDescent="0.45">
      <c r="A19" s="115">
        <v>15</v>
      </c>
      <c r="B19" s="115" t="s">
        <v>494</v>
      </c>
      <c r="C19" s="115" t="s">
        <v>90</v>
      </c>
      <c r="D19" s="115" t="s">
        <v>495</v>
      </c>
      <c r="E19" s="115" t="s">
        <v>474</v>
      </c>
      <c r="F19" s="113"/>
      <c r="G19" s="115" t="s">
        <v>29</v>
      </c>
      <c r="H19" s="115" t="s">
        <v>85</v>
      </c>
      <c r="I19" s="115" t="s">
        <v>461</v>
      </c>
    </row>
    <row r="20" spans="1:9" ht="25.5" customHeight="1" x14ac:dyDescent="0.45">
      <c r="A20" s="172" t="s">
        <v>496</v>
      </c>
      <c r="B20" s="140"/>
      <c r="C20" s="140"/>
      <c r="D20" s="140"/>
      <c r="E20" s="140"/>
      <c r="F20" s="140"/>
      <c r="G20" s="140"/>
      <c r="H20" s="140"/>
      <c r="I20" s="140"/>
    </row>
    <row r="21" spans="1:9" ht="15" customHeight="1" x14ac:dyDescent="0.45">
      <c r="A21" s="116">
        <v>16</v>
      </c>
      <c r="B21" s="116" t="s">
        <v>494</v>
      </c>
      <c r="C21" s="116" t="s">
        <v>480</v>
      </c>
      <c r="D21" s="116" t="s">
        <v>497</v>
      </c>
      <c r="E21" s="116" t="s">
        <v>467</v>
      </c>
      <c r="F21" s="113"/>
      <c r="G21" s="116" t="s">
        <v>21</v>
      </c>
      <c r="H21" s="116" t="s">
        <v>85</v>
      </c>
      <c r="I21" s="116" t="s">
        <v>461</v>
      </c>
    </row>
    <row r="22" spans="1:9" ht="15" customHeight="1" x14ac:dyDescent="0.45">
      <c r="A22" s="116">
        <v>17</v>
      </c>
      <c r="B22" s="116" t="s">
        <v>494</v>
      </c>
      <c r="C22" s="116" t="s">
        <v>480</v>
      </c>
      <c r="D22" s="116" t="s">
        <v>497</v>
      </c>
      <c r="E22" s="116" t="s">
        <v>467</v>
      </c>
      <c r="F22" s="113"/>
      <c r="G22" s="116" t="s">
        <v>23</v>
      </c>
      <c r="H22" s="116" t="s">
        <v>85</v>
      </c>
      <c r="I22" s="116" t="s">
        <v>461</v>
      </c>
    </row>
    <row r="23" spans="1:9" ht="15" customHeight="1" x14ac:dyDescent="0.45">
      <c r="A23" s="116">
        <v>18</v>
      </c>
      <c r="B23" s="116" t="s">
        <v>494</v>
      </c>
      <c r="C23" s="116" t="s">
        <v>480</v>
      </c>
      <c r="D23" s="116" t="s">
        <v>497</v>
      </c>
      <c r="E23" s="116" t="s">
        <v>467</v>
      </c>
      <c r="F23" s="113"/>
      <c r="G23" s="116" t="s">
        <v>24</v>
      </c>
      <c r="H23" s="116" t="s">
        <v>85</v>
      </c>
      <c r="I23" s="116" t="s">
        <v>461</v>
      </c>
    </row>
    <row r="24" spans="1:9" ht="15" customHeight="1" x14ac:dyDescent="0.45">
      <c r="A24" s="116">
        <v>19</v>
      </c>
      <c r="B24" s="116" t="s">
        <v>494</v>
      </c>
      <c r="C24" s="116" t="s">
        <v>480</v>
      </c>
      <c r="D24" s="116" t="s">
        <v>497</v>
      </c>
      <c r="E24" s="116" t="s">
        <v>467</v>
      </c>
      <c r="F24" s="113"/>
      <c r="G24" s="116" t="s">
        <v>25</v>
      </c>
      <c r="H24" s="116" t="s">
        <v>85</v>
      </c>
      <c r="I24" s="116" t="s">
        <v>461</v>
      </c>
    </row>
    <row r="25" spans="1:9" ht="15" customHeight="1" x14ac:dyDescent="0.45">
      <c r="A25" s="116">
        <v>20</v>
      </c>
      <c r="B25" s="116" t="s">
        <v>494</v>
      </c>
      <c r="C25" s="116" t="s">
        <v>480</v>
      </c>
      <c r="D25" s="116" t="s">
        <v>497</v>
      </c>
      <c r="E25" s="116" t="s">
        <v>467</v>
      </c>
      <c r="F25" s="113"/>
      <c r="G25" s="116" t="s">
        <v>26</v>
      </c>
      <c r="H25" s="116" t="s">
        <v>85</v>
      </c>
      <c r="I25" s="116" t="s">
        <v>461</v>
      </c>
    </row>
    <row r="26" spans="1:9" ht="15" customHeight="1" x14ac:dyDescent="0.45">
      <c r="A26" s="116">
        <v>21</v>
      </c>
      <c r="B26" s="116" t="s">
        <v>494</v>
      </c>
      <c r="C26" s="116" t="s">
        <v>480</v>
      </c>
      <c r="D26" s="116" t="s">
        <v>497</v>
      </c>
      <c r="E26" s="116" t="s">
        <v>467</v>
      </c>
      <c r="F26" s="113"/>
      <c r="G26" s="116" t="s">
        <v>27</v>
      </c>
      <c r="H26" s="116" t="s">
        <v>85</v>
      </c>
      <c r="I26" s="116" t="s">
        <v>461</v>
      </c>
    </row>
    <row r="27" spans="1:9" ht="15" customHeight="1" x14ac:dyDescent="0.45">
      <c r="A27" s="116">
        <v>22</v>
      </c>
      <c r="B27" s="116" t="s">
        <v>494</v>
      </c>
      <c r="C27" s="116" t="s">
        <v>480</v>
      </c>
      <c r="D27" s="116" t="s">
        <v>497</v>
      </c>
      <c r="E27" s="116" t="s">
        <v>467</v>
      </c>
      <c r="F27" s="113"/>
      <c r="G27" s="116" t="s">
        <v>28</v>
      </c>
      <c r="H27" s="116" t="s">
        <v>85</v>
      </c>
      <c r="I27" s="116" t="s">
        <v>461</v>
      </c>
    </row>
    <row r="28" spans="1:9" ht="15" customHeight="1" x14ac:dyDescent="0.45">
      <c r="A28" s="116">
        <v>23</v>
      </c>
      <c r="B28" s="116" t="s">
        <v>494</v>
      </c>
      <c r="C28" s="116" t="s">
        <v>480</v>
      </c>
      <c r="D28" s="116" t="s">
        <v>497</v>
      </c>
      <c r="E28" s="116" t="s">
        <v>467</v>
      </c>
      <c r="F28" s="113"/>
      <c r="G28" s="116" t="s">
        <v>29</v>
      </c>
      <c r="H28" s="116" t="s">
        <v>85</v>
      </c>
      <c r="I28" s="116" t="s">
        <v>461</v>
      </c>
    </row>
    <row r="29" spans="1:9" ht="25.5" customHeight="1" x14ac:dyDescent="0.45">
      <c r="A29" s="172" t="s">
        <v>498</v>
      </c>
      <c r="B29" s="140"/>
      <c r="C29" s="140"/>
      <c r="D29" s="140"/>
      <c r="E29" s="140"/>
      <c r="F29" s="140"/>
      <c r="G29" s="140"/>
      <c r="H29" s="140"/>
      <c r="I29" s="140"/>
    </row>
    <row r="30" spans="1:9" ht="15" customHeight="1" x14ac:dyDescent="0.45">
      <c r="A30" s="117">
        <v>24</v>
      </c>
      <c r="B30" s="117" t="s">
        <v>494</v>
      </c>
      <c r="C30" s="117" t="s">
        <v>499</v>
      </c>
      <c r="D30" s="117" t="s">
        <v>500</v>
      </c>
      <c r="E30" s="117" t="s">
        <v>501</v>
      </c>
      <c r="F30" s="113"/>
      <c r="G30" s="117" t="s">
        <v>21</v>
      </c>
      <c r="H30" s="117" t="s">
        <v>85</v>
      </c>
      <c r="I30" s="117" t="s">
        <v>464</v>
      </c>
    </row>
    <row r="31" spans="1:9" ht="15" customHeight="1" x14ac:dyDescent="0.45">
      <c r="A31" s="117">
        <v>25</v>
      </c>
      <c r="B31" s="117" t="s">
        <v>494</v>
      </c>
      <c r="C31" s="117" t="s">
        <v>499</v>
      </c>
      <c r="D31" s="117" t="s">
        <v>500</v>
      </c>
      <c r="E31" s="117" t="s">
        <v>501</v>
      </c>
      <c r="F31" s="113"/>
      <c r="G31" s="117" t="s">
        <v>23</v>
      </c>
      <c r="H31" s="117" t="s">
        <v>85</v>
      </c>
      <c r="I31" s="117" t="s">
        <v>464</v>
      </c>
    </row>
    <row r="32" spans="1:9" ht="15" customHeight="1" x14ac:dyDescent="0.45">
      <c r="A32" s="117">
        <v>26</v>
      </c>
      <c r="B32" s="117" t="s">
        <v>494</v>
      </c>
      <c r="C32" s="117" t="s">
        <v>499</v>
      </c>
      <c r="D32" s="117" t="s">
        <v>500</v>
      </c>
      <c r="E32" s="117" t="s">
        <v>501</v>
      </c>
      <c r="F32" s="113"/>
      <c r="G32" s="117" t="s">
        <v>24</v>
      </c>
      <c r="H32" s="117" t="s">
        <v>85</v>
      </c>
      <c r="I32" s="117" t="s">
        <v>464</v>
      </c>
    </row>
    <row r="33" spans="1:10" ht="15" customHeight="1" x14ac:dyDescent="0.45">
      <c r="A33" s="117">
        <v>27</v>
      </c>
      <c r="B33" s="117" t="s">
        <v>494</v>
      </c>
      <c r="C33" s="117" t="s">
        <v>499</v>
      </c>
      <c r="D33" s="117" t="s">
        <v>500</v>
      </c>
      <c r="E33" s="117" t="s">
        <v>501</v>
      </c>
      <c r="F33" s="113"/>
      <c r="G33" s="117" t="s">
        <v>25</v>
      </c>
      <c r="H33" s="117" t="s">
        <v>85</v>
      </c>
      <c r="I33" s="117" t="s">
        <v>464</v>
      </c>
    </row>
    <row r="34" spans="1:10" ht="15" customHeight="1" x14ac:dyDescent="0.45">
      <c r="A34" s="117">
        <v>28</v>
      </c>
      <c r="B34" s="117" t="s">
        <v>494</v>
      </c>
      <c r="C34" s="117" t="s">
        <v>499</v>
      </c>
      <c r="D34" s="117" t="s">
        <v>500</v>
      </c>
      <c r="E34" s="117" t="s">
        <v>501</v>
      </c>
      <c r="F34" s="113"/>
      <c r="G34" s="117" t="s">
        <v>26</v>
      </c>
      <c r="H34" s="117" t="s">
        <v>85</v>
      </c>
      <c r="I34" s="117" t="s">
        <v>464</v>
      </c>
    </row>
    <row r="35" spans="1:10" ht="15" customHeight="1" x14ac:dyDescent="0.45">
      <c r="A35" s="117">
        <v>29</v>
      </c>
      <c r="B35" s="117" t="s">
        <v>494</v>
      </c>
      <c r="C35" s="117" t="s">
        <v>499</v>
      </c>
      <c r="D35" s="117" t="s">
        <v>500</v>
      </c>
      <c r="E35" s="117" t="s">
        <v>119</v>
      </c>
      <c r="F35" s="113">
        <v>9228000</v>
      </c>
      <c r="G35" s="117" t="s">
        <v>27</v>
      </c>
      <c r="H35" s="117" t="s">
        <v>85</v>
      </c>
      <c r="I35" s="117" t="s">
        <v>464</v>
      </c>
    </row>
    <row r="36" spans="1:10" ht="15" customHeight="1" x14ac:dyDescent="0.45">
      <c r="A36" s="117">
        <v>30</v>
      </c>
      <c r="B36" s="117" t="s">
        <v>114</v>
      </c>
      <c r="C36" s="117" t="s">
        <v>87</v>
      </c>
      <c r="D36" s="117" t="s">
        <v>500</v>
      </c>
      <c r="E36" s="117" t="s">
        <v>502</v>
      </c>
      <c r="F36" s="113">
        <v>24612600</v>
      </c>
      <c r="G36" s="117" t="s">
        <v>28</v>
      </c>
      <c r="H36" s="117" t="s">
        <v>85</v>
      </c>
      <c r="I36" s="117" t="s">
        <v>464</v>
      </c>
      <c r="J36">
        <v>9379015</v>
      </c>
    </row>
    <row r="37" spans="1:10" ht="15" customHeight="1" x14ac:dyDescent="0.45">
      <c r="A37" s="117">
        <v>31</v>
      </c>
      <c r="B37" s="117"/>
      <c r="C37" s="117"/>
      <c r="D37" s="117"/>
      <c r="E37" s="117"/>
      <c r="F37" s="113"/>
      <c r="G37" s="117" t="s">
        <v>29</v>
      </c>
      <c r="H37" s="117" t="s">
        <v>85</v>
      </c>
      <c r="I37" s="117" t="s">
        <v>464</v>
      </c>
    </row>
    <row r="38" spans="1:10" ht="15" customHeight="1" x14ac:dyDescent="0.45">
      <c r="A38" s="118"/>
      <c r="B38" s="118"/>
      <c r="C38" s="118"/>
      <c r="D38" s="118"/>
      <c r="E38" s="119" t="s">
        <v>120</v>
      </c>
      <c r="F38" s="120">
        <f>SUM(F4:F37)</f>
        <v>582722165.96000004</v>
      </c>
      <c r="G38" s="118"/>
      <c r="H38" s="118"/>
      <c r="I38" s="118"/>
    </row>
  </sheetData>
  <mergeCells count="4">
    <mergeCell ref="A1:I1"/>
    <mergeCell ref="A20:I20"/>
    <mergeCell ref="A11:I11"/>
    <mergeCell ref="A29:I2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FA3"/>
  </sheetPr>
  <dimension ref="A1:K113"/>
  <sheetViews>
    <sheetView zoomScaleNormal="100" workbookViewId="0">
      <pane ySplit="8" topLeftCell="A9" activePane="bottomLeft" state="frozen"/>
      <selection pane="bottomLeft"/>
    </sheetView>
  </sheetViews>
  <sheetFormatPr baseColWidth="10" defaultColWidth="8.73046875" defaultRowHeight="14.25" x14ac:dyDescent="0.45"/>
  <cols>
    <col min="1" max="1" width="18.265625" customWidth="1"/>
    <col min="2" max="2" width="32" customWidth="1"/>
    <col min="3" max="3" width="16" customWidth="1"/>
    <col min="4" max="4" width="14" customWidth="1"/>
    <col min="5" max="5" width="44" customWidth="1"/>
    <col min="6" max="6" width="18" customWidth="1"/>
    <col min="7" max="9" width="16" customWidth="1"/>
    <col min="10" max="10" width="9" customWidth="1"/>
    <col min="11" max="11" width="12" customWidth="1"/>
  </cols>
  <sheetData>
    <row r="1" spans="1:11" ht="15" customHeight="1" x14ac:dyDescent="0.45">
      <c r="A1" s="121" t="s">
        <v>503</v>
      </c>
    </row>
    <row r="2" spans="1:11" ht="15" customHeight="1" x14ac:dyDescent="0.5">
      <c r="A2" s="122" t="s">
        <v>504</v>
      </c>
    </row>
    <row r="3" spans="1:11" ht="15" customHeight="1" x14ac:dyDescent="0.45">
      <c r="A3" s="123" t="s">
        <v>505</v>
      </c>
    </row>
    <row r="5" spans="1:11" ht="15" customHeight="1" x14ac:dyDescent="0.45">
      <c r="A5" s="124" t="s">
        <v>506</v>
      </c>
      <c r="B5" s="124" t="s">
        <v>43</v>
      </c>
      <c r="C5" s="124" t="s">
        <v>15</v>
      </c>
      <c r="D5" s="124" t="s">
        <v>507</v>
      </c>
      <c r="E5" s="124" t="s">
        <v>508</v>
      </c>
    </row>
    <row r="6" spans="1:11" ht="15" customHeight="1" x14ac:dyDescent="0.45">
      <c r="A6" s="125">
        <f>SUM('MD Register'!F5:F102)</f>
        <v>752471165.96000004</v>
      </c>
      <c r="B6" s="125">
        <f>SUM('MD Register'!V5:V102)</f>
        <v>508196229.25</v>
      </c>
      <c r="C6" s="125">
        <f>SUM('MD Register'!AC5:AC102)</f>
        <v>31453515</v>
      </c>
      <c r="D6" s="125">
        <f>A6-B6-C6</f>
        <v>212821421.71000004</v>
      </c>
      <c r="E6" s="126">
        <f>IF(A6=0,0,B6/A6)</f>
        <v>0.67536970483333414</v>
      </c>
    </row>
    <row r="8" spans="1:11" ht="15" customHeight="1" x14ac:dyDescent="0.45">
      <c r="A8" s="127" t="s">
        <v>9</v>
      </c>
      <c r="B8" s="127" t="s">
        <v>10</v>
      </c>
      <c r="C8" s="127" t="s">
        <v>11</v>
      </c>
      <c r="D8" s="127" t="s">
        <v>12</v>
      </c>
      <c r="E8" s="127" t="s">
        <v>36</v>
      </c>
      <c r="F8" s="127" t="s">
        <v>37</v>
      </c>
      <c r="G8" s="127" t="s">
        <v>43</v>
      </c>
      <c r="H8" s="127" t="s">
        <v>15</v>
      </c>
      <c r="I8" s="127" t="s">
        <v>44</v>
      </c>
      <c r="J8" s="127" t="s">
        <v>17</v>
      </c>
      <c r="K8" s="127" t="s">
        <v>45</v>
      </c>
    </row>
    <row r="9" spans="1:11" ht="15" customHeight="1" x14ac:dyDescent="0.45">
      <c r="A9" s="128">
        <f>IF('MD Register'!B5="","",'MD Register'!A5)</f>
        <v>1</v>
      </c>
      <c r="B9" s="129" t="str">
        <f>IF('MD Register'!B5="","",'MD Register'!B5)</f>
        <v>NCF</v>
      </c>
      <c r="C9" s="130" t="str">
        <f>IF('MD Register'!B5="","",'MD Register'!C5)</f>
        <v>ESAP-BMP</v>
      </c>
      <c r="D9" s="130" t="str">
        <f>IF('MD Register'!B5="","",'MD Register'!D5)</f>
        <v>LCCH SEC 1&amp;2</v>
      </c>
      <c r="E9" s="130" t="str">
        <f>IF('MD Register'!B5="","",'MD Register'!E5)</f>
        <v>BMP Implementation Phase 1+ 2</v>
      </c>
      <c r="F9" s="131">
        <f>IF('MD Register'!B5="","",'MD Register'!F5)</f>
        <v>82934896</v>
      </c>
      <c r="G9" s="131">
        <f>IF('MD Register'!B5="","",'MD Register'!V5)</f>
        <v>62264320.390000001</v>
      </c>
      <c r="H9" s="131">
        <f>IF('MD Register'!B5="","",'MD Register'!AC5)</f>
        <v>0</v>
      </c>
      <c r="I9" s="131">
        <f>IF('MD Register'!B5="","",'MD Register'!W5)</f>
        <v>20670575.609999999</v>
      </c>
      <c r="J9" s="132">
        <f>IF('MD Register'!B5="","",'MD Register'!X5)</f>
        <v>0.75076142122370304</v>
      </c>
      <c r="K9" s="130" t="str">
        <f>IF('MD Register'!B5="","",'MD Register'!Y5)</f>
        <v>PARTIAL</v>
      </c>
    </row>
    <row r="10" spans="1:11" ht="15" customHeight="1" x14ac:dyDescent="0.45">
      <c r="A10" s="133">
        <f>IF('MD Register'!B6="","",'MD Register'!A6)</f>
        <v>2</v>
      </c>
      <c r="B10" s="134" t="str">
        <f>IF('MD Register'!B6="","",'MD Register'!B6)</f>
        <v>DynaSmart</v>
      </c>
      <c r="C10" s="135" t="str">
        <f>IF('MD Register'!B6="","",'MD Register'!C6)</f>
        <v>ESAP-SRAP</v>
      </c>
      <c r="D10" s="135" t="str">
        <f>IF('MD Register'!B6="","",'MD Register'!D6)</f>
        <v>LCCH SEC 1</v>
      </c>
      <c r="E10" s="135" t="str">
        <f>IF('MD Register'!B6="","",'MD Register'!E6)</f>
        <v>SRAP - Contract signing (35%) + Inception Report (30%)</v>
      </c>
      <c r="F10" s="136">
        <f>IF('MD Register'!B6="","",'MD Register'!F6)</f>
        <v>454196669.95999998</v>
      </c>
      <c r="G10" s="136">
        <f>IF('MD Register'!B6="","",'MD Register'!V6)</f>
        <v>295098196.86000001</v>
      </c>
      <c r="H10" s="136">
        <f>IF('MD Register'!B6="","",'MD Register'!AC6)</f>
        <v>0</v>
      </c>
      <c r="I10" s="136">
        <f>IF('MD Register'!B6="","",'MD Register'!W6)</f>
        <v>159098473.09999996</v>
      </c>
      <c r="J10" s="137">
        <f>IF('MD Register'!B6="","",'MD Register'!X6)</f>
        <v>0.64971457603594629</v>
      </c>
      <c r="K10" s="135" t="str">
        <f>IF('MD Register'!B6="","",'MD Register'!Y6)</f>
        <v>PARTIAL</v>
      </c>
    </row>
    <row r="11" spans="1:11" ht="15" customHeight="1" x14ac:dyDescent="0.45">
      <c r="A11" s="128">
        <f>IF('MD Register'!B7="","",'MD Register'!A7)</f>
        <v>3</v>
      </c>
      <c r="B11" s="129" t="str">
        <f>IF('MD Register'!B7="","",'MD Register'!B7)</f>
        <v>CEO Advisory</v>
      </c>
      <c r="C11" s="130" t="str">
        <f>IF('MD Register'!B7="","",'MD Register'!C7)</f>
        <v>HRRA</v>
      </c>
      <c r="D11" s="130" t="str">
        <f>IF('MD Register'!B7="","",'MD Register'!D7)</f>
        <v>LCCH SEC 1</v>
      </c>
      <c r="E11" s="130" t="str">
        <f>IF('MD Register'!B7="","",'MD Register'!E7)</f>
        <v>Mobilization (30%) + Draft Report 30%</v>
      </c>
      <c r="F11" s="131">
        <f>IF('MD Register'!B7="","",'MD Register'!F7)</f>
        <v>10050000</v>
      </c>
      <c r="G11" s="131">
        <f>IF('MD Register'!B7="","",'MD Register'!V7)</f>
        <v>6030000</v>
      </c>
      <c r="H11" s="131">
        <f>IF('MD Register'!B7="","",'MD Register'!AC7)</f>
        <v>0</v>
      </c>
      <c r="I11" s="131">
        <f>IF('MD Register'!B7="","",'MD Register'!W7)</f>
        <v>4020000</v>
      </c>
      <c r="J11" s="132">
        <f>IF('MD Register'!B7="","",'MD Register'!X7)</f>
        <v>0.6</v>
      </c>
      <c r="K11" s="130" t="str">
        <f>IF('MD Register'!B7="","",'MD Register'!Y7)</f>
        <v>PARTIAL</v>
      </c>
    </row>
    <row r="12" spans="1:11" ht="15" customHeight="1" x14ac:dyDescent="0.45">
      <c r="A12" s="133">
        <f>IF('MD Register'!B8="","",'MD Register'!A8)</f>
        <v>4</v>
      </c>
      <c r="B12" s="134" t="str">
        <f>IF('MD Register'!B8="","",'MD Register'!B8)</f>
        <v>Eddie Perez Limited</v>
      </c>
      <c r="C12" s="135" t="str">
        <f>IF('MD Register'!B8="","",'MD Register'!C8)</f>
        <v>OD SURVEY</v>
      </c>
      <c r="D12" s="135" t="str">
        <f>IF('MD Register'!B8="","",'MD Register'!D8)</f>
        <v>LCCH SEC 1</v>
      </c>
      <c r="E12" s="135" t="str">
        <f>IF('MD Register'!B8="","",'MD Register'!E8)</f>
        <v>Mobilization fee for survey (60%) + Draft Report (30%)</v>
      </c>
      <c r="F12" s="136">
        <f>IF('MD Register'!B8="","",'MD Register'!F8)</f>
        <v>53793000</v>
      </c>
      <c r="G12" s="136">
        <f>IF('MD Register'!B8="","",'MD Register'!V8)</f>
        <v>48413700</v>
      </c>
      <c r="H12" s="136">
        <f>IF('MD Register'!B8="","",'MD Register'!AC8)</f>
        <v>0</v>
      </c>
      <c r="I12" s="136">
        <f>IF('MD Register'!B8="","",'MD Register'!W8)</f>
        <v>5379300</v>
      </c>
      <c r="J12" s="137">
        <f>IF('MD Register'!B8="","",'MD Register'!X8)</f>
        <v>0.9</v>
      </c>
      <c r="K12" s="135" t="str">
        <f>IF('MD Register'!B8="","",'MD Register'!Y8)</f>
        <v>PARTIAL</v>
      </c>
    </row>
    <row r="13" spans="1:11" ht="15" customHeight="1" x14ac:dyDescent="0.45">
      <c r="A13" s="128">
        <f>IF('MD Register'!B9="","",'MD Register'!A9)</f>
        <v>5</v>
      </c>
      <c r="B13" s="129" t="str">
        <f>IF('MD Register'!B9="","",'MD Register'!B9)</f>
        <v>Eddie Perez Limited</v>
      </c>
      <c r="C13" s="130" t="str">
        <f>IF('MD Register'!B9="","",'MD Register'!C9)</f>
        <v>SOCIO ECONOMIC SURVEYS</v>
      </c>
      <c r="D13" s="130" t="str">
        <f>IF('MD Register'!B9="","",'MD Register'!D9)</f>
        <v>LCCH SEC 1&amp;2</v>
      </c>
      <c r="E13" s="130" t="str">
        <f>IF('MD Register'!B9="","",'MD Register'!E9)</f>
        <v>Mobilization (50%) + Draft report (30%)</v>
      </c>
      <c r="F13" s="131">
        <f>IF('MD Register'!B9="","",'MD Register'!F9)</f>
        <v>76871100</v>
      </c>
      <c r="G13" s="131">
        <f>IF('MD Register'!B9="","",'MD Register'!V9)</f>
        <v>61067832</v>
      </c>
      <c r="H13" s="131">
        <f>IF('MD Register'!B9="","",'MD Register'!AC9)</f>
        <v>0</v>
      </c>
      <c r="I13" s="131">
        <f>IF('MD Register'!B9="","",'MD Register'!W9)</f>
        <v>15803268</v>
      </c>
      <c r="J13" s="132">
        <f>IF('MD Register'!B9="","",'MD Register'!X9)</f>
        <v>0.79441860465116276</v>
      </c>
      <c r="K13" s="130" t="str">
        <f>IF('MD Register'!B9="","",'MD Register'!Y9)</f>
        <v>PARTIAL</v>
      </c>
    </row>
    <row r="14" spans="1:11" ht="15" customHeight="1" x14ac:dyDescent="0.45">
      <c r="A14" s="133">
        <f>IF('MD Register'!B10="","",'MD Register'!A10)</f>
        <v>6</v>
      </c>
      <c r="B14" s="134" t="str">
        <f>IF('MD Register'!B10="","",'MD Register'!B10)</f>
        <v>David Omaghomi</v>
      </c>
      <c r="C14" s="135" t="str">
        <f>IF('MD Register'!B10="","",'MD Register'!C10)</f>
        <v>CRM</v>
      </c>
      <c r="D14" s="135" t="str">
        <f>IF('MD Register'!B10="","",'MD Register'!D10)</f>
        <v>LCCH SEC 1&amp;2</v>
      </c>
      <c r="E14" s="135" t="str">
        <f>IF('MD Register'!B10="","",'MD Register'!E10)</f>
        <v>Communitiy Awareness Campaigns (June - Sept 2025)</v>
      </c>
      <c r="F14" s="136">
        <f>IF('MD Register'!B10="","",'MD Register'!F10)</f>
        <v>1750000</v>
      </c>
      <c r="G14" s="136">
        <f>IF('MD Register'!B10="","",'MD Register'!V10)</f>
        <v>1750000</v>
      </c>
      <c r="H14" s="136">
        <f>IF('MD Register'!B10="","",'MD Register'!AC10)</f>
        <v>0</v>
      </c>
      <c r="I14" s="136">
        <f>IF('MD Register'!B10="","",'MD Register'!W10)</f>
        <v>0</v>
      </c>
      <c r="J14" s="137">
        <f>IF('MD Register'!B10="","",'MD Register'!X10)</f>
        <v>1</v>
      </c>
      <c r="K14" s="135" t="str">
        <f>IF('MD Register'!B10="","",'MD Register'!Y10)</f>
        <v>PAID</v>
      </c>
    </row>
    <row r="15" spans="1:11" ht="15" customHeight="1" x14ac:dyDescent="0.45">
      <c r="A15" s="128">
        <f>IF('MD Register'!B11="","",'MD Register'!A11)</f>
        <v>7</v>
      </c>
      <c r="B15" s="129" t="str">
        <f>IF('MD Register'!B11="","",'MD Register'!B11)</f>
        <v>Hitech-CRM</v>
      </c>
      <c r="C15" s="130" t="str">
        <f>IF('MD Register'!B11="","",'MD Register'!C11)</f>
        <v>ESAP SEC 1</v>
      </c>
      <c r="D15" s="130" t="str">
        <f>IF('MD Register'!B11="","",'MD Register'!D11)</f>
        <v>LCCH SEC 1</v>
      </c>
      <c r="E15" s="130" t="str">
        <f>IF('MD Register'!B11="","",'MD Register'!E11)</f>
        <v>GRC Activity</v>
      </c>
      <c r="F15" s="131">
        <f>IF('MD Register'!B11="","",'MD Register'!F11)</f>
        <v>3964400</v>
      </c>
      <c r="G15" s="131">
        <f>IF('MD Register'!B11="","",'MD Register'!V11)</f>
        <v>3964400</v>
      </c>
      <c r="H15" s="131">
        <f>IF('MD Register'!B11="","",'MD Register'!AC11)</f>
        <v>0</v>
      </c>
      <c r="I15" s="131">
        <f>IF('MD Register'!B11="","",'MD Register'!W11)</f>
        <v>0</v>
      </c>
      <c r="J15" s="132">
        <f>IF('MD Register'!B11="","",'MD Register'!X11)</f>
        <v>1</v>
      </c>
      <c r="K15" s="130" t="str">
        <f>IF('MD Register'!B11="","",'MD Register'!Y11)</f>
        <v>PAID</v>
      </c>
    </row>
    <row r="16" spans="1:11" ht="15" customHeight="1" x14ac:dyDescent="0.45">
      <c r="A16" s="133">
        <f>IF('MD Register'!B12="","",'MD Register'!A12)</f>
        <v>8</v>
      </c>
      <c r="B16" s="134" t="str">
        <f>IF('MD Register'!B12="","",'MD Register'!B12)</f>
        <v>Beachtv Media Limited</v>
      </c>
      <c r="C16" s="135" t="str">
        <f>IF('MD Register'!B12="","",'MD Register'!C12)</f>
        <v>CSR</v>
      </c>
      <c r="D16" s="135" t="str">
        <f>IF('MD Register'!B12="","",'MD Register'!D12)</f>
        <v>LCCH SEC 1</v>
      </c>
      <c r="E16" s="135" t="str">
        <f>IF('MD Register'!B12="","",'MD Register'!E12)</f>
        <v>Photography Videography - Lagos City Marathon</v>
      </c>
      <c r="F16" s="136">
        <f>IF('MD Register'!B12="","",'MD Register'!F12)</f>
        <v>120000</v>
      </c>
      <c r="G16" s="136">
        <f>IF('MD Register'!B12="","",'MD Register'!V12)</f>
        <v>120000</v>
      </c>
      <c r="H16" s="136">
        <f>IF('MD Register'!B12="","",'MD Register'!AC12)</f>
        <v>0</v>
      </c>
      <c r="I16" s="136">
        <f>IF('MD Register'!B12="","",'MD Register'!W12)</f>
        <v>0</v>
      </c>
      <c r="J16" s="137">
        <f>IF('MD Register'!B12="","",'MD Register'!X12)</f>
        <v>1</v>
      </c>
      <c r="K16" s="135" t="str">
        <f>IF('MD Register'!B12="","",'MD Register'!Y12)</f>
        <v>PAID</v>
      </c>
    </row>
    <row r="17" spans="1:11" ht="15" customHeight="1" x14ac:dyDescent="0.45">
      <c r="A17" s="128">
        <f>IF('MD Register'!B13="","",'MD Register'!A13)</f>
        <v>9</v>
      </c>
      <c r="B17" s="129" t="str">
        <f>IF('MD Register'!B13="","",'MD Register'!B13)</f>
        <v>David Omaghomi</v>
      </c>
      <c r="C17" s="130" t="str">
        <f>IF('MD Register'!B13="","",'MD Register'!C13)</f>
        <v>CRM</v>
      </c>
      <c r="D17" s="130" t="str">
        <f>IF('MD Register'!B13="","",'MD Register'!D13)</f>
        <v>LCCH SEC 1&amp;2</v>
      </c>
      <c r="E17" s="130" t="str">
        <f>IF('MD Register'!B13="","",'MD Register'!E13)</f>
        <v>Payment for Community Relation Manager retainer fee for 5 months (from June 2025 to October 2025)</v>
      </c>
      <c r="F17" s="131">
        <f>IF('MD Register'!B13="","",'MD Register'!F13)</f>
        <v>10000000</v>
      </c>
      <c r="G17" s="131">
        <f>IF('MD Register'!B13="","",'MD Register'!V13)</f>
        <v>10000000</v>
      </c>
      <c r="H17" s="131">
        <f>IF('MD Register'!B13="","",'MD Register'!AC13)</f>
        <v>0</v>
      </c>
      <c r="I17" s="131">
        <f>IF('MD Register'!B13="","",'MD Register'!W13)</f>
        <v>0</v>
      </c>
      <c r="J17" s="132">
        <f>IF('MD Register'!B13="","",'MD Register'!X13)</f>
        <v>1</v>
      </c>
      <c r="K17" s="130" t="str">
        <f>IF('MD Register'!B13="","",'MD Register'!Y13)</f>
        <v>PAID</v>
      </c>
    </row>
    <row r="18" spans="1:11" ht="15" customHeight="1" x14ac:dyDescent="0.45">
      <c r="A18" s="133">
        <f>IF('MD Register'!B14="","",'MD Register'!A14)</f>
        <v>10</v>
      </c>
      <c r="B18" s="134" t="str">
        <f>IF('MD Register'!B14="","",'MD Register'!B14)</f>
        <v>G&amp;B PRINTING PRESS AND BUSINESS CENTER</v>
      </c>
      <c r="C18" s="135" t="str">
        <f>IF('MD Register'!B14="","",'MD Register'!C14)</f>
        <v>CRM</v>
      </c>
      <c r="D18" s="135" t="str">
        <f>IF('MD Register'!B14="","",'MD Register'!D14)</f>
        <v>LCCH SEC 1&amp;2</v>
      </c>
      <c r="E18" s="135" t="str">
        <f>IF('MD Register'!B14="","",'MD Register'!E14)</f>
        <v>Office supplies</v>
      </c>
      <c r="F18" s="136">
        <f>IF('MD Register'!B14="","",'MD Register'!F14)</f>
        <v>300000</v>
      </c>
      <c r="G18" s="136">
        <f>IF('MD Register'!B14="","",'MD Register'!V14)</f>
        <v>0</v>
      </c>
      <c r="H18" s="136">
        <f>IF('MD Register'!B14="","",'MD Register'!AC14)</f>
        <v>300000</v>
      </c>
      <c r="I18" s="136">
        <f>IF('MD Register'!B14="","",'MD Register'!W14)</f>
        <v>0</v>
      </c>
      <c r="J18" s="137">
        <f>IF('MD Register'!B14="","",'MD Register'!X14)</f>
        <v>0</v>
      </c>
      <c r="K18" s="135" t="str">
        <f>IF('MD Register'!B14="","",'MD Register'!Y14)</f>
        <v>PENDING</v>
      </c>
    </row>
    <row r="19" spans="1:11" ht="15" customHeight="1" x14ac:dyDescent="0.45">
      <c r="A19" s="128">
        <f>IF('MD Register'!B15="","",'MD Register'!A15)</f>
        <v>11</v>
      </c>
      <c r="B19" s="129" t="str">
        <f>IF('MD Register'!B15="","",'MD Register'!B15)</f>
        <v>G&amp;B PRINTING PRESS AND BUSINESS CENTER</v>
      </c>
      <c r="C19" s="130" t="str">
        <f>IF('MD Register'!B15="","",'MD Register'!C15)</f>
        <v>CRM</v>
      </c>
      <c r="D19" s="130" t="str">
        <f>IF('MD Register'!B15="","",'MD Register'!D15)</f>
        <v>LCCH SEC 1&amp;2</v>
      </c>
      <c r="E19" s="130" t="str">
        <f>IF('MD Register'!B15="","",'MD Register'!E15)</f>
        <v>Office supplies</v>
      </c>
      <c r="F19" s="131">
        <f>IF('MD Register'!B15="","",'MD Register'!F15)</f>
        <v>468000</v>
      </c>
      <c r="G19" s="131">
        <f>IF('MD Register'!B15="","",'MD Register'!V15)</f>
        <v>0</v>
      </c>
      <c r="H19" s="131">
        <f>IF('MD Register'!B15="","",'MD Register'!AC15)</f>
        <v>468000</v>
      </c>
      <c r="I19" s="131">
        <f>IF('MD Register'!B15="","",'MD Register'!W15)</f>
        <v>0</v>
      </c>
      <c r="J19" s="132">
        <f>IF('MD Register'!B15="","",'MD Register'!X15)</f>
        <v>0</v>
      </c>
      <c r="K19" s="130" t="str">
        <f>IF('MD Register'!B15="","",'MD Register'!Y15)</f>
        <v>PENDING</v>
      </c>
    </row>
    <row r="20" spans="1:11" ht="15" customHeight="1" x14ac:dyDescent="0.45">
      <c r="A20" s="133">
        <f>IF('MD Register'!B16="","",'MD Register'!A16)</f>
        <v>12</v>
      </c>
      <c r="B20" s="134" t="str">
        <f>IF('MD Register'!B16="","",'MD Register'!B16)</f>
        <v>G&amp;B PRINTING PRESS AND BUSINESS CENTER</v>
      </c>
      <c r="C20" s="135" t="str">
        <f>IF('MD Register'!B16="","",'MD Register'!C16)</f>
        <v>CRM</v>
      </c>
      <c r="D20" s="135" t="str">
        <f>IF('MD Register'!B16="","",'MD Register'!D16)</f>
        <v>LCCH SEC 1&amp;2</v>
      </c>
      <c r="E20" s="135" t="str">
        <f>IF('MD Register'!B16="","",'MD Register'!E16)</f>
        <v>Office supplies</v>
      </c>
      <c r="F20" s="136">
        <f>IF('MD Register'!B16="","",'MD Register'!F16)</f>
        <v>446500</v>
      </c>
      <c r="G20" s="136">
        <f>IF('MD Register'!B16="","",'MD Register'!V16)</f>
        <v>0</v>
      </c>
      <c r="H20" s="136">
        <f>IF('MD Register'!B16="","",'MD Register'!AC16)</f>
        <v>446500</v>
      </c>
      <c r="I20" s="136">
        <f>IF('MD Register'!B16="","",'MD Register'!W16)</f>
        <v>0</v>
      </c>
      <c r="J20" s="137">
        <f>IF('MD Register'!B16="","",'MD Register'!X16)</f>
        <v>0</v>
      </c>
      <c r="K20" s="135" t="str">
        <f>IF('MD Register'!B16="","",'MD Register'!Y16)</f>
        <v>PENDING</v>
      </c>
    </row>
    <row r="21" spans="1:11" ht="15" customHeight="1" x14ac:dyDescent="0.45">
      <c r="A21" s="128">
        <f>IF('MD Register'!B17="","",'MD Register'!A17)</f>
        <v>13</v>
      </c>
      <c r="B21" s="129" t="str">
        <f>IF('MD Register'!B17="","",'MD Register'!B17)</f>
        <v>Beachtv Media Limited</v>
      </c>
      <c r="C21" s="130" t="str">
        <f>IF('MD Register'!B17="","",'MD Register'!C17)</f>
        <v>CSR</v>
      </c>
      <c r="D21" s="130" t="str">
        <f>IF('MD Register'!B17="","",'MD Register'!D17)</f>
        <v>LCCH SEC 1&amp;2</v>
      </c>
      <c r="E21" s="130" t="str">
        <f>IF('MD Register'!B17="","",'MD Register'!E17)</f>
        <v>Photography - Videography - Drone Shoot</v>
      </c>
      <c r="F21" s="131">
        <f>IF('MD Register'!B17="","",'MD Register'!F17)</f>
        <v>250000</v>
      </c>
      <c r="G21" s="131">
        <f>IF('MD Register'!B17="","",'MD Register'!V17)</f>
        <v>0</v>
      </c>
      <c r="H21" s="131">
        <f>IF('MD Register'!B17="","",'MD Register'!AC17)</f>
        <v>250000</v>
      </c>
      <c r="I21" s="131">
        <f>IF('MD Register'!B17="","",'MD Register'!W17)</f>
        <v>0</v>
      </c>
      <c r="J21" s="132">
        <f>IF('MD Register'!B17="","",'MD Register'!X17)</f>
        <v>0</v>
      </c>
      <c r="K21" s="130" t="str">
        <f>IF('MD Register'!B17="","",'MD Register'!Y17)</f>
        <v>PENDING</v>
      </c>
    </row>
    <row r="22" spans="1:11" ht="15" customHeight="1" x14ac:dyDescent="0.45">
      <c r="A22" s="133">
        <f>IF('MD Register'!B18="","",'MD Register'!A18)</f>
        <v>14</v>
      </c>
      <c r="B22" s="134" t="str">
        <f>IF('MD Register'!B18="","",'MD Register'!B18)</f>
        <v>G&amp;B PRINTING PRESS AND BUSINESS CENTER</v>
      </c>
      <c r="C22" s="135" t="str">
        <f>IF('MD Register'!B18="","",'MD Register'!C18)</f>
        <v>CRM</v>
      </c>
      <c r="D22" s="135" t="str">
        <f>IF('MD Register'!B18="","",'MD Register'!D18)</f>
        <v>LCCH SEC 1&amp;2</v>
      </c>
      <c r="E22" s="135" t="str">
        <f>IF('MD Register'!B18="","",'MD Register'!E18)</f>
        <v>Office supplies</v>
      </c>
      <c r="F22" s="136">
        <f>IF('MD Register'!B18="","",'MD Register'!F18)</f>
        <v>300000</v>
      </c>
      <c r="G22" s="136">
        <f>IF('MD Register'!B18="","",'MD Register'!V18)</f>
        <v>0</v>
      </c>
      <c r="H22" s="136">
        <f>IF('MD Register'!B18="","",'MD Register'!AC18)</f>
        <v>300000</v>
      </c>
      <c r="I22" s="136">
        <f>IF('MD Register'!B18="","",'MD Register'!W18)</f>
        <v>0</v>
      </c>
      <c r="J22" s="137">
        <f>IF('MD Register'!B18="","",'MD Register'!X18)</f>
        <v>0</v>
      </c>
      <c r="K22" s="135" t="str">
        <f>IF('MD Register'!B18="","",'MD Register'!Y18)</f>
        <v>PENDING</v>
      </c>
    </row>
    <row r="23" spans="1:11" ht="15" customHeight="1" x14ac:dyDescent="0.45">
      <c r="A23" s="128">
        <f>IF('MD Register'!B19="","",'MD Register'!A19)</f>
        <v>15</v>
      </c>
      <c r="B23" s="129" t="str">
        <f>IF('MD Register'!B19="","",'MD Register'!B19)</f>
        <v>Lifeline Option Enterprises</v>
      </c>
      <c r="C23" s="130" t="str">
        <f>IF('MD Register'!B19="","",'MD Register'!C19)</f>
        <v>CSR</v>
      </c>
      <c r="D23" s="130" t="str">
        <f>IF('MD Register'!B19="","",'MD Register'!D19)</f>
        <v>LCCH SEC 1&amp;2</v>
      </c>
      <c r="E23" s="130" t="str">
        <f>IF('MD Register'!B19="","",'MD Register'!E19)</f>
        <v>Adhoc staffs</v>
      </c>
      <c r="F23" s="131">
        <f>IF('MD Register'!B19="","",'MD Register'!F19)</f>
        <v>40000</v>
      </c>
      <c r="G23" s="131">
        <f>IF('MD Register'!B19="","",'MD Register'!V19)</f>
        <v>40000</v>
      </c>
      <c r="H23" s="131">
        <f>IF('MD Register'!B19="","",'MD Register'!AC19)</f>
        <v>0</v>
      </c>
      <c r="I23" s="131">
        <f>IF('MD Register'!B19="","",'MD Register'!W19)</f>
        <v>0</v>
      </c>
      <c r="J23" s="132">
        <f>IF('MD Register'!B19="","",'MD Register'!X19)</f>
        <v>1</v>
      </c>
      <c r="K23" s="130" t="str">
        <f>IF('MD Register'!B19="","",'MD Register'!Y19)</f>
        <v>PAID</v>
      </c>
    </row>
    <row r="24" spans="1:11" ht="15" customHeight="1" x14ac:dyDescent="0.45">
      <c r="A24" s="133">
        <f>IF('MD Register'!B20="","",'MD Register'!A20)</f>
        <v>16</v>
      </c>
      <c r="B24" s="134" t="str">
        <f>IF('MD Register'!B20="","",'MD Register'!B20)</f>
        <v>Lifeline Option Enterprises</v>
      </c>
      <c r="C24" s="135" t="str">
        <f>IF('MD Register'!B20="","",'MD Register'!C20)</f>
        <v>CRM</v>
      </c>
      <c r="D24" s="135" t="str">
        <f>IF('MD Register'!B20="","",'MD Register'!D20)</f>
        <v>LCCH SEC 1&amp;2</v>
      </c>
      <c r="E24" s="135" t="str">
        <f>IF('MD Register'!B20="","",'MD Register'!E20)</f>
        <v>t</v>
      </c>
      <c r="F24" s="136">
        <f>IF('MD Register'!B20="","",'MD Register'!F20)</f>
        <v>750000</v>
      </c>
      <c r="G24" s="136">
        <f>IF('MD Register'!B20="","",'MD Register'!V20)</f>
        <v>750000</v>
      </c>
      <c r="H24" s="136">
        <f>IF('MD Register'!B20="","",'MD Register'!AC20)</f>
        <v>0</v>
      </c>
      <c r="I24" s="136">
        <f>IF('MD Register'!B20="","",'MD Register'!W20)</f>
        <v>0</v>
      </c>
      <c r="J24" s="137">
        <f>IF('MD Register'!B20="","",'MD Register'!X20)</f>
        <v>1</v>
      </c>
      <c r="K24" s="135" t="str">
        <f>IF('MD Register'!B20="","",'MD Register'!Y20)</f>
        <v>PAID</v>
      </c>
    </row>
    <row r="25" spans="1:11" ht="15" customHeight="1" x14ac:dyDescent="0.45">
      <c r="A25" s="128">
        <f>IF('MD Register'!B21="","",'MD Register'!A21)</f>
        <v>17</v>
      </c>
      <c r="B25" s="129" t="str">
        <f>IF('MD Register'!B21="","",'MD Register'!B21)</f>
        <v>Lifeline Option Enterprises</v>
      </c>
      <c r="C25" s="130" t="str">
        <f>IF('MD Register'!B21="","",'MD Register'!C21)</f>
        <v>CRM</v>
      </c>
      <c r="D25" s="130" t="str">
        <f>IF('MD Register'!B21="","",'MD Register'!D21)</f>
        <v>LCCH SEC 1&amp;2</v>
      </c>
      <c r="E25" s="130" t="str">
        <f>IF('MD Register'!B21="","",'MD Register'!E21)</f>
        <v>Speaker hire - campaign</v>
      </c>
      <c r="F25" s="131">
        <f>IF('MD Register'!B21="","",'MD Register'!F21)</f>
        <v>50000</v>
      </c>
      <c r="G25" s="131">
        <f>IF('MD Register'!B21="","",'MD Register'!V21)</f>
        <v>0</v>
      </c>
      <c r="H25" s="131">
        <f>IF('MD Register'!B21="","",'MD Register'!AC21)</f>
        <v>50000</v>
      </c>
      <c r="I25" s="131">
        <f>IF('MD Register'!B21="","",'MD Register'!W21)</f>
        <v>0</v>
      </c>
      <c r="J25" s="132">
        <f>IF('MD Register'!B21="","",'MD Register'!X21)</f>
        <v>0</v>
      </c>
      <c r="K25" s="130" t="str">
        <f>IF('MD Register'!B21="","",'MD Register'!Y21)</f>
        <v>PENDING</v>
      </c>
    </row>
    <row r="26" spans="1:11" ht="15" customHeight="1" x14ac:dyDescent="0.45">
      <c r="A26" s="133">
        <f>IF('MD Register'!B22="","",'MD Register'!A22)</f>
        <v>18</v>
      </c>
      <c r="B26" s="134" t="str">
        <f>IF('MD Register'!B22="","",'MD Register'!B22)</f>
        <v>Lifeline Option Enterprises</v>
      </c>
      <c r="C26" s="135" t="str">
        <f>IF('MD Register'!B22="","",'MD Register'!C22)</f>
        <v>CSR</v>
      </c>
      <c r="D26" s="135" t="str">
        <f>IF('MD Register'!B22="","",'MD Register'!D22)</f>
        <v>LCCH SEC 1&amp;2</v>
      </c>
      <c r="E26" s="135" t="str">
        <f>IF('MD Register'!B22="","",'MD Register'!E22)</f>
        <v>Adhoc staffs: Jan 10 to Feb 7.  2026</v>
      </c>
      <c r="F26" s="136">
        <f>IF('MD Register'!B22="","",'MD Register'!F22)</f>
        <v>120000</v>
      </c>
      <c r="G26" s="136">
        <f>IF('MD Register'!B22="","",'MD Register'!V22)</f>
        <v>0</v>
      </c>
      <c r="H26" s="136">
        <f>IF('MD Register'!B22="","",'MD Register'!AC22)</f>
        <v>120000</v>
      </c>
      <c r="I26" s="136">
        <f>IF('MD Register'!B22="","",'MD Register'!W22)</f>
        <v>0</v>
      </c>
      <c r="J26" s="137">
        <f>IF('MD Register'!B22="","",'MD Register'!X22)</f>
        <v>0</v>
      </c>
      <c r="K26" s="135" t="str">
        <f>IF('MD Register'!B22="","",'MD Register'!Y22)</f>
        <v>PENDING</v>
      </c>
    </row>
    <row r="27" spans="1:11" ht="15" customHeight="1" x14ac:dyDescent="0.45">
      <c r="A27" s="128">
        <f>IF('MD Register'!B23="","",'MD Register'!A23)</f>
        <v>19</v>
      </c>
      <c r="B27" s="129" t="str">
        <f>IF('MD Register'!B23="","",'MD Register'!B23)</f>
        <v>CRM Office and SRAP Team</v>
      </c>
      <c r="C27" s="130" t="str">
        <f>IF('MD Register'!B23="","",'MD Register'!C23)</f>
        <v>ESAP SEC 1</v>
      </c>
      <c r="D27" s="130" t="str">
        <f>IF('MD Register'!B23="","",'MD Register'!D23)</f>
        <v>LCCH SEC 1</v>
      </c>
      <c r="E27" s="130" t="str">
        <f>IF('MD Register'!B23="","",'MD Register'!E23)</f>
        <v>SRAP / GRC STAKEHOLDERS WORKSHOP MEETING 2026</v>
      </c>
      <c r="F27" s="131">
        <f>IF('MD Register'!B23="","",'MD Register'!F23)</f>
        <v>872000</v>
      </c>
      <c r="G27" s="131">
        <f>IF('MD Register'!B23="","",'MD Register'!V23)</f>
        <v>0</v>
      </c>
      <c r="H27" s="131">
        <f>IF('MD Register'!B23="","",'MD Register'!AC23)</f>
        <v>872000</v>
      </c>
      <c r="I27" s="131">
        <f>IF('MD Register'!B23="","",'MD Register'!W23)</f>
        <v>0</v>
      </c>
      <c r="J27" s="132">
        <f>IF('MD Register'!B23="","",'MD Register'!X23)</f>
        <v>0</v>
      </c>
      <c r="K27" s="130" t="str">
        <f>IF('MD Register'!B23="","",'MD Register'!Y23)</f>
        <v>UPCOMING</v>
      </c>
    </row>
    <row r="28" spans="1:11" ht="15" customHeight="1" x14ac:dyDescent="0.45">
      <c r="A28" s="133">
        <f>IF('MD Register'!B24="","",'MD Register'!A24)</f>
        <v>20</v>
      </c>
      <c r="B28" s="134" t="str">
        <f>IF('MD Register'!B24="","",'MD Register'!B24)</f>
        <v>David Omaghomi</v>
      </c>
      <c r="C28" s="135" t="str">
        <f>IF('MD Register'!B24="","",'MD Register'!C24)</f>
        <v>CRM</v>
      </c>
      <c r="D28" s="135" t="str">
        <f>IF('MD Register'!B24="","",'MD Register'!D24)</f>
        <v>LCCH SEC 1&amp;2</v>
      </c>
      <c r="E28" s="135" t="str">
        <f>IF('MD Register'!B24="","",'MD Register'!E24)</f>
        <v>Fuel (LSR 58 EZ)</v>
      </c>
      <c r="F28" s="136">
        <f>IF('MD Register'!B24="","",'MD Register'!F24)</f>
        <v>610000</v>
      </c>
      <c r="G28" s="136">
        <f>IF('MD Register'!B24="","",'MD Register'!V24)</f>
        <v>610000</v>
      </c>
      <c r="H28" s="136">
        <f>IF('MD Register'!B24="","",'MD Register'!AC24)</f>
        <v>0</v>
      </c>
      <c r="I28" s="136">
        <f>IF('MD Register'!B24="","",'MD Register'!W24)</f>
        <v>0</v>
      </c>
      <c r="J28" s="137">
        <f>IF('MD Register'!B24="","",'MD Register'!X24)</f>
        <v>1</v>
      </c>
      <c r="K28" s="135" t="str">
        <f>IF('MD Register'!B24="","",'MD Register'!Y24)</f>
        <v>PAID</v>
      </c>
    </row>
    <row r="29" spans="1:11" ht="15" customHeight="1" x14ac:dyDescent="0.45">
      <c r="A29" s="128">
        <f>IF('MD Register'!B25="","",'MD Register'!A25)</f>
        <v>21</v>
      </c>
      <c r="B29" s="129" t="str">
        <f>IF('MD Register'!B25="","",'MD Register'!B25)</f>
        <v>David Omaghomi</v>
      </c>
      <c r="C29" s="130" t="str">
        <f>IF('MD Register'!B25="","",'MD Register'!C25)</f>
        <v>CRM</v>
      </c>
      <c r="D29" s="130" t="str">
        <f>IF('MD Register'!B25="","",'MD Register'!D25)</f>
        <v>LCCH SEC 1&amp;2</v>
      </c>
      <c r="E29" s="130" t="str">
        <f>IF('MD Register'!B25="","",'MD Register'!E25)</f>
        <v>April Pay for Community Relations Manager</v>
      </c>
      <c r="F29" s="131">
        <f>IF('MD Register'!B25="","",'MD Register'!F25)</f>
        <v>2000000</v>
      </c>
      <c r="G29" s="131">
        <f>IF('MD Register'!B25="","",'MD Register'!V25)</f>
        <v>2000000</v>
      </c>
      <c r="H29" s="131">
        <f>IF('MD Register'!B25="","",'MD Register'!AC25)</f>
        <v>0</v>
      </c>
      <c r="I29" s="131">
        <f>IF('MD Register'!B25="","",'MD Register'!W25)</f>
        <v>0</v>
      </c>
      <c r="J29" s="132">
        <f>IF('MD Register'!B25="","",'MD Register'!X25)</f>
        <v>1</v>
      </c>
      <c r="K29" s="130" t="str">
        <f>IF('MD Register'!B25="","",'MD Register'!Y25)</f>
        <v>PAID</v>
      </c>
    </row>
    <row r="30" spans="1:11" ht="15" customHeight="1" x14ac:dyDescent="0.45">
      <c r="A30" s="133">
        <f>IF('MD Register'!B26="","",'MD Register'!A26)</f>
        <v>22</v>
      </c>
      <c r="B30" s="134" t="str">
        <f>IF('MD Register'!B26="","",'MD Register'!B26)</f>
        <v>Ndoni Logistic</v>
      </c>
      <c r="C30" s="135" t="str">
        <f>IF('MD Register'!B26="","",'MD Register'!C26)</f>
        <v>CRM</v>
      </c>
      <c r="D30" s="135" t="str">
        <f>IF('MD Register'!B26="","",'MD Register'!D26)</f>
        <v>LCCH SEC 1&amp;2</v>
      </c>
      <c r="E30" s="135" t="str">
        <f>IF('MD Register'!B26="","",'MD Register'!E26)</f>
        <v xml:space="preserve">Provision of vehicule Hire (SUV) + Driver &amp; Fueling </v>
      </c>
      <c r="F30" s="136">
        <f>IF('MD Register'!B26="","",'MD Register'!F26)</f>
        <v>1600000</v>
      </c>
      <c r="G30" s="136">
        <f>IF('MD Register'!B26="","",'MD Register'!V26)</f>
        <v>1600000</v>
      </c>
      <c r="H30" s="136">
        <f>IF('MD Register'!B26="","",'MD Register'!AC26)</f>
        <v>0</v>
      </c>
      <c r="I30" s="136">
        <f>IF('MD Register'!B26="","",'MD Register'!W26)</f>
        <v>0</v>
      </c>
      <c r="J30" s="137">
        <f>IF('MD Register'!B26="","",'MD Register'!X26)</f>
        <v>1</v>
      </c>
      <c r="K30" s="135" t="str">
        <f>IF('MD Register'!B26="","",'MD Register'!Y26)</f>
        <v>PAID</v>
      </c>
    </row>
    <row r="31" spans="1:11" ht="15" customHeight="1" x14ac:dyDescent="0.45">
      <c r="A31" s="128">
        <f>IF('MD Register'!B27="","",'MD Register'!A27)</f>
        <v>23</v>
      </c>
      <c r="B31" s="129" t="str">
        <f>IF('MD Register'!B27="","",'MD Register'!B27)</f>
        <v>David Omaghomi</v>
      </c>
      <c r="C31" s="130" t="str">
        <f>IF('MD Register'!B27="","",'MD Register'!C27)</f>
        <v>CRM</v>
      </c>
      <c r="D31" s="130" t="str">
        <f>IF('MD Register'!B27="","",'MD Register'!D27)</f>
        <v>LCCH SEC 1&amp;2</v>
      </c>
      <c r="E31" s="130" t="str">
        <f>IF('MD Register'!B27="","",'MD Register'!E27)</f>
        <v>Payment for Community Relation Manager</v>
      </c>
      <c r="F31" s="131">
        <f>IF('MD Register'!B27="","",'MD Register'!F27)</f>
        <v>2554000</v>
      </c>
      <c r="G31" s="131">
        <f>IF('MD Register'!B27="","",'MD Register'!V27)</f>
        <v>2554000</v>
      </c>
      <c r="H31" s="131">
        <f>IF('MD Register'!B27="","",'MD Register'!AC27)</f>
        <v>0</v>
      </c>
      <c r="I31" s="131">
        <f>IF('MD Register'!B27="","",'MD Register'!W27)</f>
        <v>0</v>
      </c>
      <c r="J31" s="132">
        <f>IF('MD Register'!B27="","",'MD Register'!X27)</f>
        <v>1</v>
      </c>
      <c r="K31" s="130" t="str">
        <f>IF('MD Register'!B27="","",'MD Register'!Y27)</f>
        <v>PAID</v>
      </c>
    </row>
    <row r="32" spans="1:11" ht="15" customHeight="1" x14ac:dyDescent="0.45">
      <c r="A32" s="133">
        <f>IF('MD Register'!B28="","",'MD Register'!A28)</f>
        <v>24</v>
      </c>
      <c r="B32" s="134" t="str">
        <f>IF('MD Register'!B28="","",'MD Register'!B28)</f>
        <v>Ndoni Logistic</v>
      </c>
      <c r="C32" s="135" t="str">
        <f>IF('MD Register'!B28="","",'MD Register'!C28)</f>
        <v>CRM</v>
      </c>
      <c r="D32" s="135" t="str">
        <f>IF('MD Register'!B28="","",'MD Register'!D28)</f>
        <v>LCCH SEC 1&amp;2</v>
      </c>
      <c r="E32" s="135" t="str">
        <f>IF('MD Register'!B28="","",'MD Register'!E28)</f>
        <v>Vehicule Hire- CRM Office June-July</v>
      </c>
      <c r="F32" s="136">
        <f>IF('MD Register'!B28="","",'MD Register'!F28)</f>
        <v>1500000</v>
      </c>
      <c r="G32" s="136">
        <f>IF('MD Register'!B28="","",'MD Register'!V28)</f>
        <v>1500000</v>
      </c>
      <c r="H32" s="136">
        <f>IF('MD Register'!B28="","",'MD Register'!AC28)</f>
        <v>0</v>
      </c>
      <c r="I32" s="136">
        <f>IF('MD Register'!B28="","",'MD Register'!W28)</f>
        <v>0</v>
      </c>
      <c r="J32" s="137">
        <f>IF('MD Register'!B28="","",'MD Register'!X28)</f>
        <v>1</v>
      </c>
      <c r="K32" s="135" t="str">
        <f>IF('MD Register'!B28="","",'MD Register'!Y28)</f>
        <v>PAID</v>
      </c>
    </row>
    <row r="33" spans="1:11" ht="15" customHeight="1" x14ac:dyDescent="0.45">
      <c r="A33" s="128">
        <f>IF('MD Register'!B29="","",'MD Register'!A29)</f>
        <v>25</v>
      </c>
      <c r="B33" s="129" t="str">
        <f>IF('MD Register'!B29="","",'MD Register'!B29)</f>
        <v>David Omaghomi</v>
      </c>
      <c r="C33" s="130" t="str">
        <f>IF('MD Register'!B29="","",'MD Register'!C29)</f>
        <v>CRM</v>
      </c>
      <c r="D33" s="130" t="str">
        <f>IF('MD Register'!B29="","",'MD Register'!D29)</f>
        <v>LCCH SEC 1</v>
      </c>
      <c r="E33" s="130" t="str">
        <f>IF('MD Register'!B29="","",'MD Register'!E29)</f>
        <v>Payment for Community Relation Manager</v>
      </c>
      <c r="F33" s="131">
        <f>IF('MD Register'!B29="","",'MD Register'!F29)</f>
        <v>3050000</v>
      </c>
      <c r="G33" s="131">
        <f>IF('MD Register'!B29="","",'MD Register'!V29)</f>
        <v>3050000</v>
      </c>
      <c r="H33" s="131">
        <f>IF('MD Register'!B29="","",'MD Register'!AC29)</f>
        <v>0</v>
      </c>
      <c r="I33" s="131">
        <f>IF('MD Register'!B29="","",'MD Register'!W29)</f>
        <v>0</v>
      </c>
      <c r="J33" s="132">
        <f>IF('MD Register'!B29="","",'MD Register'!X29)</f>
        <v>1</v>
      </c>
      <c r="K33" s="130" t="str">
        <f>IF('MD Register'!B29="","",'MD Register'!Y29)</f>
        <v>PAID</v>
      </c>
    </row>
    <row r="34" spans="1:11" ht="15" customHeight="1" x14ac:dyDescent="0.45">
      <c r="A34" s="133">
        <f>IF('MD Register'!B30="","",'MD Register'!A30)</f>
        <v>26</v>
      </c>
      <c r="B34" s="134" t="str">
        <f>IF('MD Register'!B30="","",'MD Register'!B30)</f>
        <v>Lifeline Option Enterprises</v>
      </c>
      <c r="C34" s="135" t="str">
        <f>IF('MD Register'!B30="","",'MD Register'!C30)</f>
        <v>CSR</v>
      </c>
      <c r="D34" s="135" t="str">
        <f>IF('MD Register'!B30="","",'MD Register'!D30)</f>
        <v>LCCH SEC 1&amp;2</v>
      </c>
      <c r="E34" s="135" t="str">
        <f>IF('MD Register'!B30="","",'MD Register'!E30)</f>
        <v>Adhoc staffs 14 feb. 2026</v>
      </c>
      <c r="F34" s="136">
        <f>IF('MD Register'!B30="","",'MD Register'!F30)</f>
        <v>40000</v>
      </c>
      <c r="G34" s="136">
        <f>IF('MD Register'!B30="","",'MD Register'!V30)</f>
        <v>0</v>
      </c>
      <c r="H34" s="136">
        <f>IF('MD Register'!B30="","",'MD Register'!AC30)</f>
        <v>40000</v>
      </c>
      <c r="I34" s="136">
        <f>IF('MD Register'!B30="","",'MD Register'!W30)</f>
        <v>0</v>
      </c>
      <c r="J34" s="137">
        <f>IF('MD Register'!B30="","",'MD Register'!X30)</f>
        <v>0</v>
      </c>
      <c r="K34" s="135" t="str">
        <f>IF('MD Register'!B30="","",'MD Register'!Y30)</f>
        <v>PENDING</v>
      </c>
    </row>
    <row r="35" spans="1:11" ht="15" customHeight="1" x14ac:dyDescent="0.45">
      <c r="A35" s="128">
        <f>IF('MD Register'!B31="","",'MD Register'!A31)</f>
        <v>27</v>
      </c>
      <c r="B35" s="129" t="str">
        <f>IF('MD Register'!B31="","",'MD Register'!B31)</f>
        <v>David Omaghomi</v>
      </c>
      <c r="C35" s="130" t="str">
        <f>IF('MD Register'!B31="","",'MD Register'!C31)</f>
        <v>CRM</v>
      </c>
      <c r="D35" s="130" t="str">
        <f>IF('MD Register'!B31="","",'MD Register'!D31)</f>
        <v>LCCH SEC 1&amp;2</v>
      </c>
      <c r="E35" s="130" t="str">
        <f>IF('MD Register'!B31="","",'MD Register'!E31)</f>
        <v>Payment for CRM Office Nov 2025 to March 2026</v>
      </c>
      <c r="F35" s="131">
        <f>IF('MD Register'!B31="","",'MD Register'!F31)</f>
        <v>10000000</v>
      </c>
      <c r="G35" s="131">
        <f>IF('MD Register'!B31="","",'MD Register'!V31)</f>
        <v>0</v>
      </c>
      <c r="H35" s="131">
        <f>IF('MD Register'!B31="","",'MD Register'!AC31)</f>
        <v>10000000</v>
      </c>
      <c r="I35" s="131">
        <f>IF('MD Register'!B31="","",'MD Register'!W31)</f>
        <v>0</v>
      </c>
      <c r="J35" s="132">
        <f>IF('MD Register'!B31="","",'MD Register'!X31)</f>
        <v>0</v>
      </c>
      <c r="K35" s="130" t="str">
        <f>IF('MD Register'!B31="","",'MD Register'!Y31)</f>
        <v>PENDING</v>
      </c>
    </row>
    <row r="36" spans="1:11" ht="15" customHeight="1" x14ac:dyDescent="0.45">
      <c r="A36" s="133">
        <f>IF('MD Register'!B32="","",'MD Register'!A32)</f>
        <v>28</v>
      </c>
      <c r="B36" s="134" t="str">
        <f>IF('MD Register'!B32="","",'MD Register'!B32)</f>
        <v>EcoConserv</v>
      </c>
      <c r="C36" s="135" t="str">
        <f>IF('MD Register'!B32="","",'MD Register'!C32)</f>
        <v>ESAP SEC 1</v>
      </c>
      <c r="D36" s="135" t="str">
        <f>IF('MD Register'!B32="","",'MD Register'!D32)</f>
        <v>LCCH SEC 1</v>
      </c>
      <c r="E36" s="135" t="str">
        <f>IF('MD Register'!B32="","",'MD Register'!E32)</f>
        <v>HURRI - LCCH 30%</v>
      </c>
      <c r="F36" s="136">
        <f>IF('MD Register'!B32="","",'MD Register'!F32)</f>
        <v>24612600</v>
      </c>
      <c r="G36" s="136">
        <f>IF('MD Register'!B32="","",'MD Register'!V32)</f>
        <v>7383780</v>
      </c>
      <c r="H36" s="136">
        <f>IF('MD Register'!B32="","",'MD Register'!AC32)</f>
        <v>9379015</v>
      </c>
      <c r="I36" s="136">
        <f>IF('MD Register'!B32="","",'MD Register'!W32)</f>
        <v>7849805</v>
      </c>
      <c r="J36" s="137">
        <f>IF('MD Register'!B32="","",'MD Register'!X32)</f>
        <v>0.3</v>
      </c>
      <c r="K36" s="135" t="str">
        <f>IF('MD Register'!B32="","",'MD Register'!Y32)</f>
        <v>PARTIAL</v>
      </c>
    </row>
    <row r="37" spans="1:11" ht="15" customHeight="1" x14ac:dyDescent="0.45">
      <c r="A37" s="128">
        <f>IF('MD Register'!B33="","",'MD Register'!A33)</f>
        <v>29</v>
      </c>
      <c r="B37" s="129" t="str">
        <f>IF('MD Register'!B33="","",'MD Register'!B33)</f>
        <v>Hitech</v>
      </c>
      <c r="C37" s="130" t="str">
        <f>IF('MD Register'!B33="","",'MD Register'!C33)</f>
        <v>ESAP-SRAP</v>
      </c>
      <c r="D37" s="130" t="str">
        <f>IF('MD Register'!B33="","",'MD Register'!D33)</f>
        <v>LCCH SEC 1</v>
      </c>
      <c r="E37" s="130" t="str">
        <f>IF('MD Register'!B33="","",'MD Register'!E33)</f>
        <v xml:space="preserve">SRAP/GRC Activities- April, 4,  2026 </v>
      </c>
      <c r="F37" s="131">
        <f>IF('MD Register'!B33="","",'MD Register'!F33)</f>
        <v>9228000</v>
      </c>
      <c r="G37" s="131">
        <f>IF('MD Register'!B33="","",'MD Register'!V33)</f>
        <v>0</v>
      </c>
      <c r="H37" s="131">
        <f>IF('MD Register'!B33="","",'MD Register'!AC33)</f>
        <v>9228000</v>
      </c>
      <c r="I37" s="131">
        <f>IF('MD Register'!B33="","",'MD Register'!W33)</f>
        <v>0</v>
      </c>
      <c r="J37" s="132">
        <f>IF('MD Register'!B33="","",'MD Register'!X33)</f>
        <v>0</v>
      </c>
      <c r="K37" s="130" t="str">
        <f>IF('MD Register'!B33="","",'MD Register'!Y33)</f>
        <v>UPCOMING</v>
      </c>
    </row>
    <row r="38" spans="1:11" ht="15" customHeight="1" x14ac:dyDescent="0.45">
      <c r="A38" s="133" t="str">
        <f>IF('MD Register'!B34="","",'MD Register'!A34)</f>
        <v/>
      </c>
      <c r="B38" s="134" t="str">
        <f>IF('MD Register'!B34="","",'MD Register'!B34)</f>
        <v/>
      </c>
      <c r="C38" s="135" t="str">
        <f>IF('MD Register'!B34="","",'MD Register'!C34)</f>
        <v/>
      </c>
      <c r="D38" s="135" t="str">
        <f>IF('MD Register'!B34="","",'MD Register'!D34)</f>
        <v/>
      </c>
      <c r="E38" s="135" t="str">
        <f>IF('MD Register'!B34="","",'MD Register'!E34)</f>
        <v/>
      </c>
      <c r="F38" s="136" t="str">
        <f>IF('MD Register'!B34="","",'MD Register'!F34)</f>
        <v/>
      </c>
      <c r="G38" s="136" t="str">
        <f>IF('MD Register'!B34="","",'MD Register'!V34)</f>
        <v/>
      </c>
      <c r="H38" s="136" t="str">
        <f>IF('MD Register'!B34="","",'MD Register'!AC34)</f>
        <v/>
      </c>
      <c r="I38" s="136" t="str">
        <f>IF('MD Register'!B34="","",'MD Register'!W34)</f>
        <v/>
      </c>
      <c r="J38" s="137" t="str">
        <f>IF('MD Register'!B34="","",'MD Register'!X34)</f>
        <v/>
      </c>
      <c r="K38" s="135" t="str">
        <f>IF('MD Register'!B34="","",'MD Register'!Y34)</f>
        <v/>
      </c>
    </row>
    <row r="39" spans="1:11" ht="15" customHeight="1" x14ac:dyDescent="0.45">
      <c r="A39" s="128" t="str">
        <f>IF('MD Register'!B35="","",'MD Register'!A35)</f>
        <v/>
      </c>
      <c r="B39" s="129" t="str">
        <f>IF('MD Register'!B35="","",'MD Register'!B35)</f>
        <v/>
      </c>
      <c r="C39" s="130" t="str">
        <f>IF('MD Register'!B35="","",'MD Register'!C35)</f>
        <v/>
      </c>
      <c r="D39" s="130" t="str">
        <f>IF('MD Register'!B35="","",'MD Register'!D35)</f>
        <v/>
      </c>
      <c r="E39" s="130" t="str">
        <f>IF('MD Register'!B35="","",'MD Register'!E35)</f>
        <v/>
      </c>
      <c r="F39" s="131" t="str">
        <f>IF('MD Register'!B35="","",'MD Register'!F35)</f>
        <v/>
      </c>
      <c r="G39" s="131" t="str">
        <f>IF('MD Register'!B35="","",'MD Register'!V35)</f>
        <v/>
      </c>
      <c r="H39" s="131" t="str">
        <f>IF('MD Register'!B35="","",'MD Register'!AC35)</f>
        <v/>
      </c>
      <c r="I39" s="131" t="str">
        <f>IF('MD Register'!B35="","",'MD Register'!W35)</f>
        <v/>
      </c>
      <c r="J39" s="132" t="str">
        <f>IF('MD Register'!B35="","",'MD Register'!X35)</f>
        <v/>
      </c>
      <c r="K39" s="130" t="str">
        <f>IF('MD Register'!B35="","",'MD Register'!Y35)</f>
        <v/>
      </c>
    </row>
    <row r="40" spans="1:11" ht="15" customHeight="1" x14ac:dyDescent="0.45">
      <c r="A40" s="133" t="str">
        <f>IF('MD Register'!B36="","",'MD Register'!A36)</f>
        <v/>
      </c>
      <c r="B40" s="134" t="str">
        <f>IF('MD Register'!B36="","",'MD Register'!B36)</f>
        <v/>
      </c>
      <c r="C40" s="135" t="str">
        <f>IF('MD Register'!B36="","",'MD Register'!C36)</f>
        <v/>
      </c>
      <c r="D40" s="135" t="str">
        <f>IF('MD Register'!B36="","",'MD Register'!D36)</f>
        <v/>
      </c>
      <c r="E40" s="135" t="str">
        <f>IF('MD Register'!B36="","",'MD Register'!E36)</f>
        <v/>
      </c>
      <c r="F40" s="136" t="str">
        <f>IF('MD Register'!B36="","",'MD Register'!F36)</f>
        <v/>
      </c>
      <c r="G40" s="136" t="str">
        <f>IF('MD Register'!B36="","",'MD Register'!V36)</f>
        <v/>
      </c>
      <c r="H40" s="136" t="str">
        <f>IF('MD Register'!B36="","",'MD Register'!AC36)</f>
        <v/>
      </c>
      <c r="I40" s="136" t="str">
        <f>IF('MD Register'!B36="","",'MD Register'!W36)</f>
        <v/>
      </c>
      <c r="J40" s="137" t="str">
        <f>IF('MD Register'!B36="","",'MD Register'!X36)</f>
        <v/>
      </c>
      <c r="K40" s="135" t="str">
        <f>IF('MD Register'!B36="","",'MD Register'!Y36)</f>
        <v/>
      </c>
    </row>
    <row r="41" spans="1:11" ht="15" customHeight="1" x14ac:dyDescent="0.45">
      <c r="A41" s="128" t="str">
        <f>IF('MD Register'!B37="","",'MD Register'!A37)</f>
        <v/>
      </c>
      <c r="B41" s="129" t="str">
        <f>IF('MD Register'!B37="","",'MD Register'!B37)</f>
        <v/>
      </c>
      <c r="C41" s="130" t="str">
        <f>IF('MD Register'!B37="","",'MD Register'!C37)</f>
        <v/>
      </c>
      <c r="D41" s="130" t="str">
        <f>IF('MD Register'!B37="","",'MD Register'!D37)</f>
        <v/>
      </c>
      <c r="E41" s="130" t="str">
        <f>IF('MD Register'!B37="","",'MD Register'!E37)</f>
        <v/>
      </c>
      <c r="F41" s="131" t="str">
        <f>IF('MD Register'!B37="","",'MD Register'!F37)</f>
        <v/>
      </c>
      <c r="G41" s="131" t="str">
        <f>IF('MD Register'!B37="","",'MD Register'!V37)</f>
        <v/>
      </c>
      <c r="H41" s="131" t="str">
        <f>IF('MD Register'!B37="","",'MD Register'!AC37)</f>
        <v/>
      </c>
      <c r="I41" s="131" t="str">
        <f>IF('MD Register'!B37="","",'MD Register'!W37)</f>
        <v/>
      </c>
      <c r="J41" s="132" t="str">
        <f>IF('MD Register'!B37="","",'MD Register'!X37)</f>
        <v/>
      </c>
      <c r="K41" s="130" t="str">
        <f>IF('MD Register'!B37="","",'MD Register'!Y37)</f>
        <v/>
      </c>
    </row>
    <row r="42" spans="1:11" ht="15" customHeight="1" x14ac:dyDescent="0.45">
      <c r="A42" s="133" t="str">
        <f>IF('MD Register'!B38="","",'MD Register'!A38)</f>
        <v/>
      </c>
      <c r="B42" s="134" t="str">
        <f>IF('MD Register'!B38="","",'MD Register'!B38)</f>
        <v/>
      </c>
      <c r="C42" s="135" t="str">
        <f>IF('MD Register'!B38="","",'MD Register'!C38)</f>
        <v/>
      </c>
      <c r="D42" s="135" t="str">
        <f>IF('MD Register'!B38="","",'MD Register'!D38)</f>
        <v/>
      </c>
      <c r="E42" s="135" t="str">
        <f>IF('MD Register'!B38="","",'MD Register'!E38)</f>
        <v/>
      </c>
      <c r="F42" s="136" t="str">
        <f>IF('MD Register'!B38="","",'MD Register'!F38)</f>
        <v/>
      </c>
      <c r="G42" s="136" t="str">
        <f>IF('MD Register'!B38="","",'MD Register'!V38)</f>
        <v/>
      </c>
      <c r="H42" s="136" t="str">
        <f>IF('MD Register'!B38="","",'MD Register'!AC38)</f>
        <v/>
      </c>
      <c r="I42" s="136" t="str">
        <f>IF('MD Register'!B38="","",'MD Register'!W38)</f>
        <v/>
      </c>
      <c r="J42" s="137" t="str">
        <f>IF('MD Register'!B38="","",'MD Register'!X38)</f>
        <v/>
      </c>
      <c r="K42" s="135" t="str">
        <f>IF('MD Register'!B38="","",'MD Register'!Y38)</f>
        <v/>
      </c>
    </row>
    <row r="43" spans="1:11" ht="15" customHeight="1" x14ac:dyDescent="0.45">
      <c r="A43" s="128" t="str">
        <f>IF('MD Register'!B39="","",'MD Register'!A39)</f>
        <v/>
      </c>
      <c r="B43" s="129" t="str">
        <f>IF('MD Register'!B39="","",'MD Register'!B39)</f>
        <v/>
      </c>
      <c r="C43" s="130" t="str">
        <f>IF('MD Register'!B39="","",'MD Register'!C39)</f>
        <v/>
      </c>
      <c r="D43" s="130" t="str">
        <f>IF('MD Register'!B39="","",'MD Register'!D39)</f>
        <v/>
      </c>
      <c r="E43" s="130" t="str">
        <f>IF('MD Register'!B39="","",'MD Register'!E39)</f>
        <v/>
      </c>
      <c r="F43" s="131" t="str">
        <f>IF('MD Register'!B39="","",'MD Register'!F39)</f>
        <v/>
      </c>
      <c r="G43" s="131" t="str">
        <f>IF('MD Register'!B39="","",'MD Register'!V39)</f>
        <v/>
      </c>
      <c r="H43" s="131" t="str">
        <f>IF('MD Register'!B39="","",'MD Register'!AC39)</f>
        <v/>
      </c>
      <c r="I43" s="131" t="str">
        <f>IF('MD Register'!B39="","",'MD Register'!W39)</f>
        <v/>
      </c>
      <c r="J43" s="132" t="str">
        <f>IF('MD Register'!B39="","",'MD Register'!X39)</f>
        <v/>
      </c>
      <c r="K43" s="130" t="str">
        <f>IF('MD Register'!B39="","",'MD Register'!Y39)</f>
        <v/>
      </c>
    </row>
    <row r="44" spans="1:11" ht="15" customHeight="1" x14ac:dyDescent="0.45">
      <c r="A44" s="133" t="str">
        <f>IF('MD Register'!B40="","",'MD Register'!A40)</f>
        <v/>
      </c>
      <c r="B44" s="134" t="str">
        <f>IF('MD Register'!B40="","",'MD Register'!B40)</f>
        <v/>
      </c>
      <c r="C44" s="135" t="str">
        <f>IF('MD Register'!B40="","",'MD Register'!C40)</f>
        <v/>
      </c>
      <c r="D44" s="135" t="str">
        <f>IF('MD Register'!B40="","",'MD Register'!D40)</f>
        <v/>
      </c>
      <c r="E44" s="135" t="str">
        <f>IF('MD Register'!B40="","",'MD Register'!E40)</f>
        <v/>
      </c>
      <c r="F44" s="136" t="str">
        <f>IF('MD Register'!B40="","",'MD Register'!F40)</f>
        <v/>
      </c>
      <c r="G44" s="136" t="str">
        <f>IF('MD Register'!B40="","",'MD Register'!V40)</f>
        <v/>
      </c>
      <c r="H44" s="136" t="str">
        <f>IF('MD Register'!B40="","",'MD Register'!AC40)</f>
        <v/>
      </c>
      <c r="I44" s="136" t="str">
        <f>IF('MD Register'!B40="","",'MD Register'!W40)</f>
        <v/>
      </c>
      <c r="J44" s="137" t="str">
        <f>IF('MD Register'!B40="","",'MD Register'!X40)</f>
        <v/>
      </c>
      <c r="K44" s="135" t="str">
        <f>IF('MD Register'!B40="","",'MD Register'!Y40)</f>
        <v/>
      </c>
    </row>
    <row r="45" spans="1:11" ht="15" customHeight="1" x14ac:dyDescent="0.45">
      <c r="A45" s="128" t="str">
        <f>IF('MD Register'!B41="","",'MD Register'!A41)</f>
        <v/>
      </c>
      <c r="B45" s="129" t="str">
        <f>IF('MD Register'!B41="","",'MD Register'!B41)</f>
        <v/>
      </c>
      <c r="C45" s="130" t="str">
        <f>IF('MD Register'!B41="","",'MD Register'!C41)</f>
        <v/>
      </c>
      <c r="D45" s="130" t="str">
        <f>IF('MD Register'!B41="","",'MD Register'!D41)</f>
        <v/>
      </c>
      <c r="E45" s="130" t="str">
        <f>IF('MD Register'!B41="","",'MD Register'!E41)</f>
        <v/>
      </c>
      <c r="F45" s="131" t="str">
        <f>IF('MD Register'!B41="","",'MD Register'!F41)</f>
        <v/>
      </c>
      <c r="G45" s="131" t="str">
        <f>IF('MD Register'!B41="","",'MD Register'!V41)</f>
        <v/>
      </c>
      <c r="H45" s="131" t="str">
        <f>IF('MD Register'!B41="","",'MD Register'!AC41)</f>
        <v/>
      </c>
      <c r="I45" s="131" t="str">
        <f>IF('MD Register'!B41="","",'MD Register'!W41)</f>
        <v/>
      </c>
      <c r="J45" s="132" t="str">
        <f>IF('MD Register'!B41="","",'MD Register'!X41)</f>
        <v/>
      </c>
      <c r="K45" s="130" t="str">
        <f>IF('MD Register'!B41="","",'MD Register'!Y41)</f>
        <v/>
      </c>
    </row>
    <row r="46" spans="1:11" ht="15" customHeight="1" x14ac:dyDescent="0.45">
      <c r="A46" s="133" t="str">
        <f>IF('MD Register'!B42="","",'MD Register'!A42)</f>
        <v/>
      </c>
      <c r="B46" s="134" t="str">
        <f>IF('MD Register'!B42="","",'MD Register'!B42)</f>
        <v/>
      </c>
      <c r="C46" s="135" t="str">
        <f>IF('MD Register'!B42="","",'MD Register'!C42)</f>
        <v/>
      </c>
      <c r="D46" s="135" t="str">
        <f>IF('MD Register'!B42="","",'MD Register'!D42)</f>
        <v/>
      </c>
      <c r="E46" s="135" t="str">
        <f>IF('MD Register'!B42="","",'MD Register'!E42)</f>
        <v/>
      </c>
      <c r="F46" s="136" t="str">
        <f>IF('MD Register'!B42="","",'MD Register'!F42)</f>
        <v/>
      </c>
      <c r="G46" s="136" t="str">
        <f>IF('MD Register'!B42="","",'MD Register'!V42)</f>
        <v/>
      </c>
      <c r="H46" s="136" t="str">
        <f>IF('MD Register'!B42="","",'MD Register'!AC42)</f>
        <v/>
      </c>
      <c r="I46" s="136" t="str">
        <f>IF('MD Register'!B42="","",'MD Register'!W42)</f>
        <v/>
      </c>
      <c r="J46" s="137" t="str">
        <f>IF('MD Register'!B42="","",'MD Register'!X42)</f>
        <v/>
      </c>
      <c r="K46" s="135" t="str">
        <f>IF('MD Register'!B42="","",'MD Register'!Y42)</f>
        <v/>
      </c>
    </row>
    <row r="47" spans="1:11" ht="15" customHeight="1" x14ac:dyDescent="0.45">
      <c r="A47" s="128" t="str">
        <f>IF('MD Register'!B43="","",'MD Register'!A43)</f>
        <v/>
      </c>
      <c r="B47" s="129" t="str">
        <f>IF('MD Register'!B43="","",'MD Register'!B43)</f>
        <v/>
      </c>
      <c r="C47" s="130" t="str">
        <f>IF('MD Register'!B43="","",'MD Register'!C43)</f>
        <v/>
      </c>
      <c r="D47" s="130" t="str">
        <f>IF('MD Register'!B43="","",'MD Register'!D43)</f>
        <v/>
      </c>
      <c r="E47" s="130" t="str">
        <f>IF('MD Register'!B43="","",'MD Register'!E43)</f>
        <v/>
      </c>
      <c r="F47" s="131" t="str">
        <f>IF('MD Register'!B43="","",'MD Register'!F43)</f>
        <v/>
      </c>
      <c r="G47" s="131" t="str">
        <f>IF('MD Register'!B43="","",'MD Register'!V43)</f>
        <v/>
      </c>
      <c r="H47" s="131" t="str">
        <f>IF('MD Register'!B43="","",'MD Register'!AC43)</f>
        <v/>
      </c>
      <c r="I47" s="131" t="str">
        <f>IF('MD Register'!B43="","",'MD Register'!W43)</f>
        <v/>
      </c>
      <c r="J47" s="132" t="str">
        <f>IF('MD Register'!B43="","",'MD Register'!X43)</f>
        <v/>
      </c>
      <c r="K47" s="130" t="str">
        <f>IF('MD Register'!B43="","",'MD Register'!Y43)</f>
        <v/>
      </c>
    </row>
    <row r="48" spans="1:11" ht="15" customHeight="1" x14ac:dyDescent="0.45">
      <c r="A48" s="133" t="str">
        <f>IF('MD Register'!B44="","",'MD Register'!A44)</f>
        <v/>
      </c>
      <c r="B48" s="134" t="str">
        <f>IF('MD Register'!B44="","",'MD Register'!B44)</f>
        <v/>
      </c>
      <c r="C48" s="135" t="str">
        <f>IF('MD Register'!B44="","",'MD Register'!C44)</f>
        <v/>
      </c>
      <c r="D48" s="135" t="str">
        <f>IF('MD Register'!B44="","",'MD Register'!D44)</f>
        <v/>
      </c>
      <c r="E48" s="135" t="str">
        <f>IF('MD Register'!B44="","",'MD Register'!E44)</f>
        <v/>
      </c>
      <c r="F48" s="136" t="str">
        <f>IF('MD Register'!B44="","",'MD Register'!F44)</f>
        <v/>
      </c>
      <c r="G48" s="136" t="str">
        <f>IF('MD Register'!B44="","",'MD Register'!V44)</f>
        <v/>
      </c>
      <c r="H48" s="136" t="str">
        <f>IF('MD Register'!B44="","",'MD Register'!AC44)</f>
        <v/>
      </c>
      <c r="I48" s="136" t="str">
        <f>IF('MD Register'!B44="","",'MD Register'!W44)</f>
        <v/>
      </c>
      <c r="J48" s="137" t="str">
        <f>IF('MD Register'!B44="","",'MD Register'!X44)</f>
        <v/>
      </c>
      <c r="K48" s="135" t="str">
        <f>IF('MD Register'!B44="","",'MD Register'!Y44)</f>
        <v/>
      </c>
    </row>
    <row r="49" spans="1:11" ht="15" customHeight="1" x14ac:dyDescent="0.45">
      <c r="A49" s="128" t="str">
        <f>IF('MD Register'!B45="","",'MD Register'!A45)</f>
        <v/>
      </c>
      <c r="B49" s="129" t="str">
        <f>IF('MD Register'!B45="","",'MD Register'!B45)</f>
        <v/>
      </c>
      <c r="C49" s="130" t="str">
        <f>IF('MD Register'!B45="","",'MD Register'!C45)</f>
        <v/>
      </c>
      <c r="D49" s="130" t="str">
        <f>IF('MD Register'!B45="","",'MD Register'!D45)</f>
        <v/>
      </c>
      <c r="E49" s="130" t="str">
        <f>IF('MD Register'!B45="","",'MD Register'!E45)</f>
        <v/>
      </c>
      <c r="F49" s="131" t="str">
        <f>IF('MD Register'!B45="","",'MD Register'!F45)</f>
        <v/>
      </c>
      <c r="G49" s="131" t="str">
        <f>IF('MD Register'!B45="","",'MD Register'!V45)</f>
        <v/>
      </c>
      <c r="H49" s="131" t="str">
        <f>IF('MD Register'!B45="","",'MD Register'!AC45)</f>
        <v/>
      </c>
      <c r="I49" s="131" t="str">
        <f>IF('MD Register'!B45="","",'MD Register'!W45)</f>
        <v/>
      </c>
      <c r="J49" s="132" t="str">
        <f>IF('MD Register'!B45="","",'MD Register'!X45)</f>
        <v/>
      </c>
      <c r="K49" s="130" t="str">
        <f>IF('MD Register'!B45="","",'MD Register'!Y45)</f>
        <v/>
      </c>
    </row>
    <row r="50" spans="1:11" ht="15" customHeight="1" x14ac:dyDescent="0.45">
      <c r="A50" s="133" t="str">
        <f>IF('MD Register'!B46="","",'MD Register'!A46)</f>
        <v/>
      </c>
      <c r="B50" s="134" t="str">
        <f>IF('MD Register'!B46="","",'MD Register'!B46)</f>
        <v/>
      </c>
      <c r="C50" s="135" t="str">
        <f>IF('MD Register'!B46="","",'MD Register'!C46)</f>
        <v/>
      </c>
      <c r="D50" s="135" t="str">
        <f>IF('MD Register'!B46="","",'MD Register'!D46)</f>
        <v/>
      </c>
      <c r="E50" s="135" t="str">
        <f>IF('MD Register'!B46="","",'MD Register'!E46)</f>
        <v/>
      </c>
      <c r="F50" s="136" t="str">
        <f>IF('MD Register'!B46="","",'MD Register'!F46)</f>
        <v/>
      </c>
      <c r="G50" s="136" t="str">
        <f>IF('MD Register'!B46="","",'MD Register'!V46)</f>
        <v/>
      </c>
      <c r="H50" s="136" t="str">
        <f>IF('MD Register'!B46="","",'MD Register'!AC46)</f>
        <v/>
      </c>
      <c r="I50" s="136" t="str">
        <f>IF('MD Register'!B46="","",'MD Register'!W46)</f>
        <v/>
      </c>
      <c r="J50" s="137" t="str">
        <f>IF('MD Register'!B46="","",'MD Register'!X46)</f>
        <v/>
      </c>
      <c r="K50" s="135" t="str">
        <f>IF('MD Register'!B46="","",'MD Register'!Y46)</f>
        <v/>
      </c>
    </row>
    <row r="51" spans="1:11" ht="15" customHeight="1" x14ac:dyDescent="0.45">
      <c r="A51" s="128" t="str">
        <f>IF('MD Register'!B47="","",'MD Register'!A47)</f>
        <v/>
      </c>
      <c r="B51" s="129" t="str">
        <f>IF('MD Register'!B47="","",'MD Register'!B47)</f>
        <v/>
      </c>
      <c r="C51" s="130" t="str">
        <f>IF('MD Register'!B47="","",'MD Register'!C47)</f>
        <v/>
      </c>
      <c r="D51" s="130" t="str">
        <f>IF('MD Register'!B47="","",'MD Register'!D47)</f>
        <v/>
      </c>
      <c r="E51" s="130" t="str">
        <f>IF('MD Register'!B47="","",'MD Register'!E47)</f>
        <v/>
      </c>
      <c r="F51" s="131" t="str">
        <f>IF('MD Register'!B47="","",'MD Register'!F47)</f>
        <v/>
      </c>
      <c r="G51" s="131" t="str">
        <f>IF('MD Register'!B47="","",'MD Register'!V47)</f>
        <v/>
      </c>
      <c r="H51" s="131" t="str">
        <f>IF('MD Register'!B47="","",'MD Register'!AC47)</f>
        <v/>
      </c>
      <c r="I51" s="131" t="str">
        <f>IF('MD Register'!B47="","",'MD Register'!W47)</f>
        <v/>
      </c>
      <c r="J51" s="132" t="str">
        <f>IF('MD Register'!B47="","",'MD Register'!X47)</f>
        <v/>
      </c>
      <c r="K51" s="130" t="str">
        <f>IF('MD Register'!B47="","",'MD Register'!Y47)</f>
        <v/>
      </c>
    </row>
    <row r="52" spans="1:11" ht="15" customHeight="1" x14ac:dyDescent="0.45">
      <c r="A52" s="133" t="str">
        <f>IF('MD Register'!B48="","",'MD Register'!A48)</f>
        <v/>
      </c>
      <c r="B52" s="134" t="str">
        <f>IF('MD Register'!B48="","",'MD Register'!B48)</f>
        <v/>
      </c>
      <c r="C52" s="135" t="str">
        <f>IF('MD Register'!B48="","",'MD Register'!C48)</f>
        <v/>
      </c>
      <c r="D52" s="135" t="str">
        <f>IF('MD Register'!B48="","",'MD Register'!D48)</f>
        <v/>
      </c>
      <c r="E52" s="135" t="str">
        <f>IF('MD Register'!B48="","",'MD Register'!E48)</f>
        <v/>
      </c>
      <c r="F52" s="136" t="str">
        <f>IF('MD Register'!B48="","",'MD Register'!F48)</f>
        <v/>
      </c>
      <c r="G52" s="136" t="str">
        <f>IF('MD Register'!B48="","",'MD Register'!V48)</f>
        <v/>
      </c>
      <c r="H52" s="136" t="str">
        <f>IF('MD Register'!B48="","",'MD Register'!AC48)</f>
        <v/>
      </c>
      <c r="I52" s="136" t="str">
        <f>IF('MD Register'!B48="","",'MD Register'!W48)</f>
        <v/>
      </c>
      <c r="J52" s="137" t="str">
        <f>IF('MD Register'!B48="","",'MD Register'!X48)</f>
        <v/>
      </c>
      <c r="K52" s="135" t="str">
        <f>IF('MD Register'!B48="","",'MD Register'!Y48)</f>
        <v/>
      </c>
    </row>
    <row r="53" spans="1:11" ht="15" customHeight="1" x14ac:dyDescent="0.45">
      <c r="A53" s="128" t="str">
        <f>IF('MD Register'!B49="","",'MD Register'!A49)</f>
        <v/>
      </c>
      <c r="B53" s="129" t="str">
        <f>IF('MD Register'!B49="","",'MD Register'!B49)</f>
        <v/>
      </c>
      <c r="C53" s="130" t="str">
        <f>IF('MD Register'!B49="","",'MD Register'!C49)</f>
        <v/>
      </c>
      <c r="D53" s="130" t="str">
        <f>IF('MD Register'!B49="","",'MD Register'!D49)</f>
        <v/>
      </c>
      <c r="E53" s="130" t="str">
        <f>IF('MD Register'!B49="","",'MD Register'!E49)</f>
        <v/>
      </c>
      <c r="F53" s="131" t="str">
        <f>IF('MD Register'!B49="","",'MD Register'!F49)</f>
        <v/>
      </c>
      <c r="G53" s="131" t="str">
        <f>IF('MD Register'!B49="","",'MD Register'!V49)</f>
        <v/>
      </c>
      <c r="H53" s="131" t="str">
        <f>IF('MD Register'!B49="","",'MD Register'!AC49)</f>
        <v/>
      </c>
      <c r="I53" s="131" t="str">
        <f>IF('MD Register'!B49="","",'MD Register'!W49)</f>
        <v/>
      </c>
      <c r="J53" s="132" t="str">
        <f>IF('MD Register'!B49="","",'MD Register'!X49)</f>
        <v/>
      </c>
      <c r="K53" s="130" t="str">
        <f>IF('MD Register'!B49="","",'MD Register'!Y49)</f>
        <v/>
      </c>
    </row>
    <row r="54" spans="1:11" ht="15" customHeight="1" x14ac:dyDescent="0.45">
      <c r="A54" s="133" t="str">
        <f>IF('MD Register'!B50="","",'MD Register'!A50)</f>
        <v/>
      </c>
      <c r="B54" s="134" t="str">
        <f>IF('MD Register'!B50="","",'MD Register'!B50)</f>
        <v/>
      </c>
      <c r="C54" s="135" t="str">
        <f>IF('MD Register'!B50="","",'MD Register'!C50)</f>
        <v/>
      </c>
      <c r="D54" s="135" t="str">
        <f>IF('MD Register'!B50="","",'MD Register'!D50)</f>
        <v/>
      </c>
      <c r="E54" s="135" t="str">
        <f>IF('MD Register'!B50="","",'MD Register'!E50)</f>
        <v/>
      </c>
      <c r="F54" s="136" t="str">
        <f>IF('MD Register'!B50="","",'MD Register'!F50)</f>
        <v/>
      </c>
      <c r="G54" s="136" t="str">
        <f>IF('MD Register'!B50="","",'MD Register'!V50)</f>
        <v/>
      </c>
      <c r="H54" s="136" t="str">
        <f>IF('MD Register'!B50="","",'MD Register'!AC50)</f>
        <v/>
      </c>
      <c r="I54" s="136" t="str">
        <f>IF('MD Register'!B50="","",'MD Register'!W50)</f>
        <v/>
      </c>
      <c r="J54" s="137" t="str">
        <f>IF('MD Register'!B50="","",'MD Register'!X50)</f>
        <v/>
      </c>
      <c r="K54" s="135" t="str">
        <f>IF('MD Register'!B50="","",'MD Register'!Y50)</f>
        <v/>
      </c>
    </row>
    <row r="55" spans="1:11" ht="15" customHeight="1" x14ac:dyDescent="0.45">
      <c r="A55" s="128" t="str">
        <f>IF('MD Register'!B51="","",'MD Register'!A51)</f>
        <v/>
      </c>
      <c r="B55" s="129" t="str">
        <f>IF('MD Register'!B51="","",'MD Register'!B51)</f>
        <v/>
      </c>
      <c r="C55" s="130" t="str">
        <f>IF('MD Register'!B51="","",'MD Register'!C51)</f>
        <v/>
      </c>
      <c r="D55" s="130" t="str">
        <f>IF('MD Register'!B51="","",'MD Register'!D51)</f>
        <v/>
      </c>
      <c r="E55" s="130" t="str">
        <f>IF('MD Register'!B51="","",'MD Register'!E51)</f>
        <v/>
      </c>
      <c r="F55" s="131" t="str">
        <f>IF('MD Register'!B51="","",'MD Register'!F51)</f>
        <v/>
      </c>
      <c r="G55" s="131" t="str">
        <f>IF('MD Register'!B51="","",'MD Register'!V51)</f>
        <v/>
      </c>
      <c r="H55" s="131" t="str">
        <f>IF('MD Register'!B51="","",'MD Register'!AC51)</f>
        <v/>
      </c>
      <c r="I55" s="131" t="str">
        <f>IF('MD Register'!B51="","",'MD Register'!W51)</f>
        <v/>
      </c>
      <c r="J55" s="132" t="str">
        <f>IF('MD Register'!B51="","",'MD Register'!X51)</f>
        <v/>
      </c>
      <c r="K55" s="130" t="str">
        <f>IF('MD Register'!B51="","",'MD Register'!Y51)</f>
        <v/>
      </c>
    </row>
    <row r="56" spans="1:11" ht="15" customHeight="1" x14ac:dyDescent="0.45">
      <c r="A56" s="133" t="str">
        <f>IF('MD Register'!B52="","",'MD Register'!A52)</f>
        <v/>
      </c>
      <c r="B56" s="134" t="str">
        <f>IF('MD Register'!B52="","",'MD Register'!B52)</f>
        <v/>
      </c>
      <c r="C56" s="135" t="str">
        <f>IF('MD Register'!B52="","",'MD Register'!C52)</f>
        <v/>
      </c>
      <c r="D56" s="135" t="str">
        <f>IF('MD Register'!B52="","",'MD Register'!D52)</f>
        <v/>
      </c>
      <c r="E56" s="135" t="str">
        <f>IF('MD Register'!B52="","",'MD Register'!E52)</f>
        <v/>
      </c>
      <c r="F56" s="136" t="str">
        <f>IF('MD Register'!B52="","",'MD Register'!F52)</f>
        <v/>
      </c>
      <c r="G56" s="136" t="str">
        <f>IF('MD Register'!B52="","",'MD Register'!V52)</f>
        <v/>
      </c>
      <c r="H56" s="136" t="str">
        <f>IF('MD Register'!B52="","",'MD Register'!AC52)</f>
        <v/>
      </c>
      <c r="I56" s="136" t="str">
        <f>IF('MD Register'!B52="","",'MD Register'!W52)</f>
        <v/>
      </c>
      <c r="J56" s="137" t="str">
        <f>IF('MD Register'!B52="","",'MD Register'!X52)</f>
        <v/>
      </c>
      <c r="K56" s="135" t="str">
        <f>IF('MD Register'!B52="","",'MD Register'!Y52)</f>
        <v/>
      </c>
    </row>
    <row r="57" spans="1:11" ht="15" customHeight="1" x14ac:dyDescent="0.45">
      <c r="A57" s="128" t="str">
        <f>IF('MD Register'!B53="","",'MD Register'!A53)</f>
        <v/>
      </c>
      <c r="B57" s="129" t="str">
        <f>IF('MD Register'!B53="","",'MD Register'!B53)</f>
        <v/>
      </c>
      <c r="C57" s="130" t="str">
        <f>IF('MD Register'!B53="","",'MD Register'!C53)</f>
        <v/>
      </c>
      <c r="D57" s="130" t="str">
        <f>IF('MD Register'!B53="","",'MD Register'!D53)</f>
        <v/>
      </c>
      <c r="E57" s="130" t="str">
        <f>IF('MD Register'!B53="","",'MD Register'!E53)</f>
        <v/>
      </c>
      <c r="F57" s="131" t="str">
        <f>IF('MD Register'!B53="","",'MD Register'!F53)</f>
        <v/>
      </c>
      <c r="G57" s="131" t="str">
        <f>IF('MD Register'!B53="","",'MD Register'!V53)</f>
        <v/>
      </c>
      <c r="H57" s="131" t="str">
        <f>IF('MD Register'!B53="","",'MD Register'!AC53)</f>
        <v/>
      </c>
      <c r="I57" s="131" t="str">
        <f>IF('MD Register'!B53="","",'MD Register'!W53)</f>
        <v/>
      </c>
      <c r="J57" s="132" t="str">
        <f>IF('MD Register'!B53="","",'MD Register'!X53)</f>
        <v/>
      </c>
      <c r="K57" s="130" t="str">
        <f>IF('MD Register'!B53="","",'MD Register'!Y53)</f>
        <v/>
      </c>
    </row>
    <row r="58" spans="1:11" ht="15" customHeight="1" x14ac:dyDescent="0.45">
      <c r="A58" s="133" t="str">
        <f>IF('MD Register'!B54="","",'MD Register'!A54)</f>
        <v/>
      </c>
      <c r="B58" s="134" t="str">
        <f>IF('MD Register'!B54="","",'MD Register'!B54)</f>
        <v/>
      </c>
      <c r="C58" s="135" t="str">
        <f>IF('MD Register'!B54="","",'MD Register'!C54)</f>
        <v/>
      </c>
      <c r="D58" s="135" t="str">
        <f>IF('MD Register'!B54="","",'MD Register'!D54)</f>
        <v/>
      </c>
      <c r="E58" s="135" t="str">
        <f>IF('MD Register'!B54="","",'MD Register'!E54)</f>
        <v/>
      </c>
      <c r="F58" s="136" t="str">
        <f>IF('MD Register'!B54="","",'MD Register'!F54)</f>
        <v/>
      </c>
      <c r="G58" s="136" t="str">
        <f>IF('MD Register'!B54="","",'MD Register'!V54)</f>
        <v/>
      </c>
      <c r="H58" s="136" t="str">
        <f>IF('MD Register'!B54="","",'MD Register'!AC54)</f>
        <v/>
      </c>
      <c r="I58" s="136" t="str">
        <f>IF('MD Register'!B54="","",'MD Register'!W54)</f>
        <v/>
      </c>
      <c r="J58" s="137" t="str">
        <f>IF('MD Register'!B54="","",'MD Register'!X54)</f>
        <v/>
      </c>
      <c r="K58" s="135" t="str">
        <f>IF('MD Register'!B54="","",'MD Register'!Y54)</f>
        <v/>
      </c>
    </row>
    <row r="59" spans="1:11" ht="15" customHeight="1" x14ac:dyDescent="0.45">
      <c r="A59" s="128" t="str">
        <f>IF('MD Register'!B55="","",'MD Register'!A55)</f>
        <v/>
      </c>
      <c r="B59" s="129" t="str">
        <f>IF('MD Register'!B55="","",'MD Register'!B55)</f>
        <v/>
      </c>
      <c r="C59" s="130" t="str">
        <f>IF('MD Register'!B55="","",'MD Register'!C55)</f>
        <v/>
      </c>
      <c r="D59" s="130" t="str">
        <f>IF('MD Register'!B55="","",'MD Register'!D55)</f>
        <v/>
      </c>
      <c r="E59" s="130" t="str">
        <f>IF('MD Register'!B55="","",'MD Register'!E55)</f>
        <v/>
      </c>
      <c r="F59" s="131" t="str">
        <f>IF('MD Register'!B55="","",'MD Register'!F55)</f>
        <v/>
      </c>
      <c r="G59" s="131" t="str">
        <f>IF('MD Register'!B55="","",'MD Register'!V55)</f>
        <v/>
      </c>
      <c r="H59" s="131" t="str">
        <f>IF('MD Register'!B55="","",'MD Register'!AC55)</f>
        <v/>
      </c>
      <c r="I59" s="131" t="str">
        <f>IF('MD Register'!B55="","",'MD Register'!W55)</f>
        <v/>
      </c>
      <c r="J59" s="132" t="str">
        <f>IF('MD Register'!B55="","",'MD Register'!X55)</f>
        <v/>
      </c>
      <c r="K59" s="130" t="str">
        <f>IF('MD Register'!B55="","",'MD Register'!Y55)</f>
        <v/>
      </c>
    </row>
    <row r="60" spans="1:11" ht="15" customHeight="1" x14ac:dyDescent="0.45">
      <c r="A60" s="133" t="str">
        <f>IF('MD Register'!B56="","",'MD Register'!A56)</f>
        <v/>
      </c>
      <c r="B60" s="134" t="str">
        <f>IF('MD Register'!B56="","",'MD Register'!B56)</f>
        <v/>
      </c>
      <c r="C60" s="135" t="str">
        <f>IF('MD Register'!B56="","",'MD Register'!C56)</f>
        <v/>
      </c>
      <c r="D60" s="135" t="str">
        <f>IF('MD Register'!B56="","",'MD Register'!D56)</f>
        <v/>
      </c>
      <c r="E60" s="135" t="str">
        <f>IF('MD Register'!B56="","",'MD Register'!E56)</f>
        <v/>
      </c>
      <c r="F60" s="136" t="str">
        <f>IF('MD Register'!B56="","",'MD Register'!F56)</f>
        <v/>
      </c>
      <c r="G60" s="136" t="str">
        <f>IF('MD Register'!B56="","",'MD Register'!V56)</f>
        <v/>
      </c>
      <c r="H60" s="136" t="str">
        <f>IF('MD Register'!B56="","",'MD Register'!AC56)</f>
        <v/>
      </c>
      <c r="I60" s="136" t="str">
        <f>IF('MD Register'!B56="","",'MD Register'!W56)</f>
        <v/>
      </c>
      <c r="J60" s="137" t="str">
        <f>IF('MD Register'!B56="","",'MD Register'!X56)</f>
        <v/>
      </c>
      <c r="K60" s="135" t="str">
        <f>IF('MD Register'!B56="","",'MD Register'!Y56)</f>
        <v/>
      </c>
    </row>
    <row r="61" spans="1:11" ht="15" customHeight="1" x14ac:dyDescent="0.45">
      <c r="A61" s="128" t="str">
        <f>IF('MD Register'!B57="","",'MD Register'!A57)</f>
        <v/>
      </c>
      <c r="B61" s="129" t="str">
        <f>IF('MD Register'!B57="","",'MD Register'!B57)</f>
        <v/>
      </c>
      <c r="C61" s="130" t="str">
        <f>IF('MD Register'!B57="","",'MD Register'!C57)</f>
        <v/>
      </c>
      <c r="D61" s="130" t="str">
        <f>IF('MD Register'!B57="","",'MD Register'!D57)</f>
        <v/>
      </c>
      <c r="E61" s="130" t="str">
        <f>IF('MD Register'!B57="","",'MD Register'!E57)</f>
        <v/>
      </c>
      <c r="F61" s="131" t="str">
        <f>IF('MD Register'!B57="","",'MD Register'!F57)</f>
        <v/>
      </c>
      <c r="G61" s="131" t="str">
        <f>IF('MD Register'!B57="","",'MD Register'!V57)</f>
        <v/>
      </c>
      <c r="H61" s="131" t="str">
        <f>IF('MD Register'!B57="","",'MD Register'!AC57)</f>
        <v/>
      </c>
      <c r="I61" s="131" t="str">
        <f>IF('MD Register'!B57="","",'MD Register'!W57)</f>
        <v/>
      </c>
      <c r="J61" s="132" t="str">
        <f>IF('MD Register'!B57="","",'MD Register'!X57)</f>
        <v/>
      </c>
      <c r="K61" s="130" t="str">
        <f>IF('MD Register'!B57="","",'MD Register'!Y57)</f>
        <v/>
      </c>
    </row>
    <row r="62" spans="1:11" ht="15" customHeight="1" x14ac:dyDescent="0.45">
      <c r="A62" s="133" t="str">
        <f>IF('MD Register'!B58="","",'MD Register'!A58)</f>
        <v/>
      </c>
      <c r="B62" s="134" t="str">
        <f>IF('MD Register'!B58="","",'MD Register'!B58)</f>
        <v/>
      </c>
      <c r="C62" s="135" t="str">
        <f>IF('MD Register'!B58="","",'MD Register'!C58)</f>
        <v/>
      </c>
      <c r="D62" s="135" t="str">
        <f>IF('MD Register'!B58="","",'MD Register'!D58)</f>
        <v/>
      </c>
      <c r="E62" s="135" t="str">
        <f>IF('MD Register'!B58="","",'MD Register'!E58)</f>
        <v/>
      </c>
      <c r="F62" s="136" t="str">
        <f>IF('MD Register'!B58="","",'MD Register'!F58)</f>
        <v/>
      </c>
      <c r="G62" s="136" t="str">
        <f>IF('MD Register'!B58="","",'MD Register'!V58)</f>
        <v/>
      </c>
      <c r="H62" s="136" t="str">
        <f>IF('MD Register'!B58="","",'MD Register'!AC58)</f>
        <v/>
      </c>
      <c r="I62" s="136" t="str">
        <f>IF('MD Register'!B58="","",'MD Register'!W58)</f>
        <v/>
      </c>
      <c r="J62" s="137" t="str">
        <f>IF('MD Register'!B58="","",'MD Register'!X58)</f>
        <v/>
      </c>
      <c r="K62" s="135" t="str">
        <f>IF('MD Register'!B58="","",'MD Register'!Y58)</f>
        <v/>
      </c>
    </row>
    <row r="63" spans="1:11" ht="15" customHeight="1" x14ac:dyDescent="0.45">
      <c r="A63" s="128" t="str">
        <f>IF('MD Register'!B59="","",'MD Register'!A59)</f>
        <v/>
      </c>
      <c r="B63" s="129" t="str">
        <f>IF('MD Register'!B59="","",'MD Register'!B59)</f>
        <v/>
      </c>
      <c r="C63" s="130" t="str">
        <f>IF('MD Register'!B59="","",'MD Register'!C59)</f>
        <v/>
      </c>
      <c r="D63" s="130" t="str">
        <f>IF('MD Register'!B59="","",'MD Register'!D59)</f>
        <v/>
      </c>
      <c r="E63" s="130" t="str">
        <f>IF('MD Register'!B59="","",'MD Register'!E59)</f>
        <v/>
      </c>
      <c r="F63" s="131" t="str">
        <f>IF('MD Register'!B59="","",'MD Register'!F59)</f>
        <v/>
      </c>
      <c r="G63" s="131" t="str">
        <f>IF('MD Register'!B59="","",'MD Register'!V59)</f>
        <v/>
      </c>
      <c r="H63" s="131" t="str">
        <f>IF('MD Register'!B59="","",'MD Register'!AC59)</f>
        <v/>
      </c>
      <c r="I63" s="131" t="str">
        <f>IF('MD Register'!B59="","",'MD Register'!W59)</f>
        <v/>
      </c>
      <c r="J63" s="132" t="str">
        <f>IF('MD Register'!B59="","",'MD Register'!X59)</f>
        <v/>
      </c>
      <c r="K63" s="130" t="str">
        <f>IF('MD Register'!B59="","",'MD Register'!Y59)</f>
        <v/>
      </c>
    </row>
    <row r="64" spans="1:11" ht="15" customHeight="1" x14ac:dyDescent="0.45">
      <c r="A64" s="133" t="str">
        <f>IF('MD Register'!B60="","",'MD Register'!A60)</f>
        <v/>
      </c>
      <c r="B64" s="134" t="str">
        <f>IF('MD Register'!B60="","",'MD Register'!B60)</f>
        <v/>
      </c>
      <c r="C64" s="135" t="str">
        <f>IF('MD Register'!B60="","",'MD Register'!C60)</f>
        <v/>
      </c>
      <c r="D64" s="135" t="str">
        <f>IF('MD Register'!B60="","",'MD Register'!D60)</f>
        <v/>
      </c>
      <c r="E64" s="135" t="str">
        <f>IF('MD Register'!B60="","",'MD Register'!E60)</f>
        <v/>
      </c>
      <c r="F64" s="136" t="str">
        <f>IF('MD Register'!B60="","",'MD Register'!F60)</f>
        <v/>
      </c>
      <c r="G64" s="136" t="str">
        <f>IF('MD Register'!B60="","",'MD Register'!V60)</f>
        <v/>
      </c>
      <c r="H64" s="136" t="str">
        <f>IF('MD Register'!B60="","",'MD Register'!AC60)</f>
        <v/>
      </c>
      <c r="I64" s="136" t="str">
        <f>IF('MD Register'!B60="","",'MD Register'!W60)</f>
        <v/>
      </c>
      <c r="J64" s="137" t="str">
        <f>IF('MD Register'!B60="","",'MD Register'!X60)</f>
        <v/>
      </c>
      <c r="K64" s="135" t="str">
        <f>IF('MD Register'!B60="","",'MD Register'!Y60)</f>
        <v/>
      </c>
    </row>
    <row r="65" spans="1:11" ht="15" customHeight="1" x14ac:dyDescent="0.45">
      <c r="A65" s="128" t="str">
        <f>IF('MD Register'!B61="","",'MD Register'!A61)</f>
        <v/>
      </c>
      <c r="B65" s="129" t="str">
        <f>IF('MD Register'!B61="","",'MD Register'!B61)</f>
        <v/>
      </c>
      <c r="C65" s="130" t="str">
        <f>IF('MD Register'!B61="","",'MD Register'!C61)</f>
        <v/>
      </c>
      <c r="D65" s="130" t="str">
        <f>IF('MD Register'!B61="","",'MD Register'!D61)</f>
        <v/>
      </c>
      <c r="E65" s="130" t="str">
        <f>IF('MD Register'!B61="","",'MD Register'!E61)</f>
        <v/>
      </c>
      <c r="F65" s="131" t="str">
        <f>IF('MD Register'!B61="","",'MD Register'!F61)</f>
        <v/>
      </c>
      <c r="G65" s="131" t="str">
        <f>IF('MD Register'!B61="","",'MD Register'!V61)</f>
        <v/>
      </c>
      <c r="H65" s="131" t="str">
        <f>IF('MD Register'!B61="","",'MD Register'!AC61)</f>
        <v/>
      </c>
      <c r="I65" s="131" t="str">
        <f>IF('MD Register'!B61="","",'MD Register'!W61)</f>
        <v/>
      </c>
      <c r="J65" s="132" t="str">
        <f>IF('MD Register'!B61="","",'MD Register'!X61)</f>
        <v/>
      </c>
      <c r="K65" s="130" t="str">
        <f>IF('MD Register'!B61="","",'MD Register'!Y61)</f>
        <v/>
      </c>
    </row>
    <row r="66" spans="1:11" ht="15" customHeight="1" x14ac:dyDescent="0.45">
      <c r="A66" s="133" t="str">
        <f>IF('MD Register'!B62="","",'MD Register'!A62)</f>
        <v/>
      </c>
      <c r="B66" s="134" t="str">
        <f>IF('MD Register'!B62="","",'MD Register'!B62)</f>
        <v/>
      </c>
      <c r="C66" s="135" t="str">
        <f>IF('MD Register'!B62="","",'MD Register'!C62)</f>
        <v/>
      </c>
      <c r="D66" s="135" t="str">
        <f>IF('MD Register'!B62="","",'MD Register'!D62)</f>
        <v/>
      </c>
      <c r="E66" s="135" t="str">
        <f>IF('MD Register'!B62="","",'MD Register'!E62)</f>
        <v/>
      </c>
      <c r="F66" s="136" t="str">
        <f>IF('MD Register'!B62="","",'MD Register'!F62)</f>
        <v/>
      </c>
      <c r="G66" s="136" t="str">
        <f>IF('MD Register'!B62="","",'MD Register'!V62)</f>
        <v/>
      </c>
      <c r="H66" s="136" t="str">
        <f>IF('MD Register'!B62="","",'MD Register'!AC62)</f>
        <v/>
      </c>
      <c r="I66" s="136" t="str">
        <f>IF('MD Register'!B62="","",'MD Register'!W62)</f>
        <v/>
      </c>
      <c r="J66" s="137" t="str">
        <f>IF('MD Register'!B62="","",'MD Register'!X62)</f>
        <v/>
      </c>
      <c r="K66" s="135" t="str">
        <f>IF('MD Register'!B62="","",'MD Register'!Y62)</f>
        <v/>
      </c>
    </row>
    <row r="67" spans="1:11" ht="15" customHeight="1" x14ac:dyDescent="0.45">
      <c r="A67" s="128" t="str">
        <f>IF('MD Register'!B63="","",'MD Register'!A63)</f>
        <v/>
      </c>
      <c r="B67" s="129" t="str">
        <f>IF('MD Register'!B63="","",'MD Register'!B63)</f>
        <v/>
      </c>
      <c r="C67" s="130" t="str">
        <f>IF('MD Register'!B63="","",'MD Register'!C63)</f>
        <v/>
      </c>
      <c r="D67" s="130" t="str">
        <f>IF('MD Register'!B63="","",'MD Register'!D63)</f>
        <v/>
      </c>
      <c r="E67" s="130" t="str">
        <f>IF('MD Register'!B63="","",'MD Register'!E63)</f>
        <v/>
      </c>
      <c r="F67" s="131" t="str">
        <f>IF('MD Register'!B63="","",'MD Register'!F63)</f>
        <v/>
      </c>
      <c r="G67" s="131" t="str">
        <f>IF('MD Register'!B63="","",'MD Register'!V63)</f>
        <v/>
      </c>
      <c r="H67" s="131" t="str">
        <f>IF('MD Register'!B63="","",'MD Register'!AC63)</f>
        <v/>
      </c>
      <c r="I67" s="131" t="str">
        <f>IF('MD Register'!B63="","",'MD Register'!W63)</f>
        <v/>
      </c>
      <c r="J67" s="132" t="str">
        <f>IF('MD Register'!B63="","",'MD Register'!X63)</f>
        <v/>
      </c>
      <c r="K67" s="130" t="str">
        <f>IF('MD Register'!B63="","",'MD Register'!Y63)</f>
        <v/>
      </c>
    </row>
    <row r="68" spans="1:11" ht="15" customHeight="1" x14ac:dyDescent="0.45">
      <c r="A68" s="133" t="str">
        <f>IF('MD Register'!B64="","",'MD Register'!A64)</f>
        <v/>
      </c>
      <c r="B68" s="134" t="str">
        <f>IF('MD Register'!B64="","",'MD Register'!B64)</f>
        <v/>
      </c>
      <c r="C68" s="135" t="str">
        <f>IF('MD Register'!B64="","",'MD Register'!C64)</f>
        <v/>
      </c>
      <c r="D68" s="135" t="str">
        <f>IF('MD Register'!B64="","",'MD Register'!D64)</f>
        <v/>
      </c>
      <c r="E68" s="135" t="str">
        <f>IF('MD Register'!B64="","",'MD Register'!E64)</f>
        <v/>
      </c>
      <c r="F68" s="136" t="str">
        <f>IF('MD Register'!B64="","",'MD Register'!F64)</f>
        <v/>
      </c>
      <c r="G68" s="136" t="str">
        <f>IF('MD Register'!B64="","",'MD Register'!V64)</f>
        <v/>
      </c>
      <c r="H68" s="136" t="str">
        <f>IF('MD Register'!B64="","",'MD Register'!AC64)</f>
        <v/>
      </c>
      <c r="I68" s="136" t="str">
        <f>IF('MD Register'!B64="","",'MD Register'!W64)</f>
        <v/>
      </c>
      <c r="J68" s="137" t="str">
        <f>IF('MD Register'!B64="","",'MD Register'!X64)</f>
        <v/>
      </c>
      <c r="K68" s="135" t="str">
        <f>IF('MD Register'!B64="","",'MD Register'!Y64)</f>
        <v/>
      </c>
    </row>
    <row r="69" spans="1:11" ht="15" customHeight="1" x14ac:dyDescent="0.45">
      <c r="A69" s="128" t="str">
        <f>IF('MD Register'!B65="","",'MD Register'!A65)</f>
        <v/>
      </c>
      <c r="B69" s="129" t="str">
        <f>IF('MD Register'!B65="","",'MD Register'!B65)</f>
        <v/>
      </c>
      <c r="C69" s="130" t="str">
        <f>IF('MD Register'!B65="","",'MD Register'!C65)</f>
        <v/>
      </c>
      <c r="D69" s="130" t="str">
        <f>IF('MD Register'!B65="","",'MD Register'!D65)</f>
        <v/>
      </c>
      <c r="E69" s="130" t="str">
        <f>IF('MD Register'!B65="","",'MD Register'!E65)</f>
        <v/>
      </c>
      <c r="F69" s="131" t="str">
        <f>IF('MD Register'!B65="","",'MD Register'!F65)</f>
        <v/>
      </c>
      <c r="G69" s="131" t="str">
        <f>IF('MD Register'!B65="","",'MD Register'!V65)</f>
        <v/>
      </c>
      <c r="H69" s="131" t="str">
        <f>IF('MD Register'!B65="","",'MD Register'!AC65)</f>
        <v/>
      </c>
      <c r="I69" s="131" t="str">
        <f>IF('MD Register'!B65="","",'MD Register'!W65)</f>
        <v/>
      </c>
      <c r="J69" s="132" t="str">
        <f>IF('MD Register'!B65="","",'MD Register'!X65)</f>
        <v/>
      </c>
      <c r="K69" s="130" t="str">
        <f>IF('MD Register'!B65="","",'MD Register'!Y65)</f>
        <v/>
      </c>
    </row>
    <row r="70" spans="1:11" ht="15" customHeight="1" x14ac:dyDescent="0.45">
      <c r="A70" s="133" t="str">
        <f>IF('MD Register'!B66="","",'MD Register'!A66)</f>
        <v/>
      </c>
      <c r="B70" s="134" t="str">
        <f>IF('MD Register'!B66="","",'MD Register'!B66)</f>
        <v/>
      </c>
      <c r="C70" s="135" t="str">
        <f>IF('MD Register'!B66="","",'MD Register'!C66)</f>
        <v/>
      </c>
      <c r="D70" s="135" t="str">
        <f>IF('MD Register'!B66="","",'MD Register'!D66)</f>
        <v/>
      </c>
      <c r="E70" s="135" t="str">
        <f>IF('MD Register'!B66="","",'MD Register'!E66)</f>
        <v/>
      </c>
      <c r="F70" s="136" t="str">
        <f>IF('MD Register'!B66="","",'MD Register'!F66)</f>
        <v/>
      </c>
      <c r="G70" s="136" t="str">
        <f>IF('MD Register'!B66="","",'MD Register'!V66)</f>
        <v/>
      </c>
      <c r="H70" s="136" t="str">
        <f>IF('MD Register'!B66="","",'MD Register'!AC66)</f>
        <v/>
      </c>
      <c r="I70" s="136" t="str">
        <f>IF('MD Register'!B66="","",'MD Register'!W66)</f>
        <v/>
      </c>
      <c r="J70" s="137" t="str">
        <f>IF('MD Register'!B66="","",'MD Register'!X66)</f>
        <v/>
      </c>
      <c r="K70" s="135" t="str">
        <f>IF('MD Register'!B66="","",'MD Register'!Y66)</f>
        <v/>
      </c>
    </row>
    <row r="71" spans="1:11" ht="15" customHeight="1" x14ac:dyDescent="0.45">
      <c r="A71" s="128" t="str">
        <f>IF('MD Register'!B67="","",'MD Register'!A67)</f>
        <v/>
      </c>
      <c r="B71" s="129" t="str">
        <f>IF('MD Register'!B67="","",'MD Register'!B67)</f>
        <v/>
      </c>
      <c r="C71" s="130" t="str">
        <f>IF('MD Register'!B67="","",'MD Register'!C67)</f>
        <v/>
      </c>
      <c r="D71" s="130" t="str">
        <f>IF('MD Register'!B67="","",'MD Register'!D67)</f>
        <v/>
      </c>
      <c r="E71" s="130" t="str">
        <f>IF('MD Register'!B67="","",'MD Register'!E67)</f>
        <v/>
      </c>
      <c r="F71" s="131" t="str">
        <f>IF('MD Register'!B67="","",'MD Register'!F67)</f>
        <v/>
      </c>
      <c r="G71" s="131" t="str">
        <f>IF('MD Register'!B67="","",'MD Register'!V67)</f>
        <v/>
      </c>
      <c r="H71" s="131" t="str">
        <f>IF('MD Register'!B67="","",'MD Register'!AC67)</f>
        <v/>
      </c>
      <c r="I71" s="131" t="str">
        <f>IF('MD Register'!B67="","",'MD Register'!W67)</f>
        <v/>
      </c>
      <c r="J71" s="132" t="str">
        <f>IF('MD Register'!B67="","",'MD Register'!X67)</f>
        <v/>
      </c>
      <c r="K71" s="130" t="str">
        <f>IF('MD Register'!B67="","",'MD Register'!Y67)</f>
        <v/>
      </c>
    </row>
    <row r="72" spans="1:11" ht="15" customHeight="1" x14ac:dyDescent="0.45">
      <c r="A72" s="133" t="str">
        <f>IF('MD Register'!B68="","",'MD Register'!A68)</f>
        <v/>
      </c>
      <c r="B72" s="134" t="str">
        <f>IF('MD Register'!B68="","",'MD Register'!B68)</f>
        <v/>
      </c>
      <c r="C72" s="135" t="str">
        <f>IF('MD Register'!B68="","",'MD Register'!C68)</f>
        <v/>
      </c>
      <c r="D72" s="135" t="str">
        <f>IF('MD Register'!B68="","",'MD Register'!D68)</f>
        <v/>
      </c>
      <c r="E72" s="135" t="str">
        <f>IF('MD Register'!B68="","",'MD Register'!E68)</f>
        <v/>
      </c>
      <c r="F72" s="136" t="str">
        <f>IF('MD Register'!B68="","",'MD Register'!F68)</f>
        <v/>
      </c>
      <c r="G72" s="136" t="str">
        <f>IF('MD Register'!B68="","",'MD Register'!V68)</f>
        <v/>
      </c>
      <c r="H72" s="136" t="str">
        <f>IF('MD Register'!B68="","",'MD Register'!AC68)</f>
        <v/>
      </c>
      <c r="I72" s="136" t="str">
        <f>IF('MD Register'!B68="","",'MD Register'!W68)</f>
        <v/>
      </c>
      <c r="J72" s="137" t="str">
        <f>IF('MD Register'!B68="","",'MD Register'!X68)</f>
        <v/>
      </c>
      <c r="K72" s="135" t="str">
        <f>IF('MD Register'!B68="","",'MD Register'!Y68)</f>
        <v/>
      </c>
    </row>
    <row r="73" spans="1:11" ht="15" customHeight="1" x14ac:dyDescent="0.45">
      <c r="A73" s="128" t="str">
        <f>IF('MD Register'!B69="","",'MD Register'!A69)</f>
        <v/>
      </c>
      <c r="B73" s="129" t="str">
        <f>IF('MD Register'!B69="","",'MD Register'!B69)</f>
        <v/>
      </c>
      <c r="C73" s="130" t="str">
        <f>IF('MD Register'!B69="","",'MD Register'!C69)</f>
        <v/>
      </c>
      <c r="D73" s="130" t="str">
        <f>IF('MD Register'!B69="","",'MD Register'!D69)</f>
        <v/>
      </c>
      <c r="E73" s="130" t="str">
        <f>IF('MD Register'!B69="","",'MD Register'!E69)</f>
        <v/>
      </c>
      <c r="F73" s="131" t="str">
        <f>IF('MD Register'!B69="","",'MD Register'!F69)</f>
        <v/>
      </c>
      <c r="G73" s="131" t="str">
        <f>IF('MD Register'!B69="","",'MD Register'!V69)</f>
        <v/>
      </c>
      <c r="H73" s="131" t="str">
        <f>IF('MD Register'!B69="","",'MD Register'!AC69)</f>
        <v/>
      </c>
      <c r="I73" s="131" t="str">
        <f>IF('MD Register'!B69="","",'MD Register'!W69)</f>
        <v/>
      </c>
      <c r="J73" s="132" t="str">
        <f>IF('MD Register'!B69="","",'MD Register'!X69)</f>
        <v/>
      </c>
      <c r="K73" s="130" t="str">
        <f>IF('MD Register'!B69="","",'MD Register'!Y69)</f>
        <v/>
      </c>
    </row>
    <row r="74" spans="1:11" ht="15" customHeight="1" x14ac:dyDescent="0.45">
      <c r="A74" s="133" t="str">
        <f>IF('MD Register'!B70="","",'MD Register'!A70)</f>
        <v/>
      </c>
      <c r="B74" s="134" t="str">
        <f>IF('MD Register'!B70="","",'MD Register'!B70)</f>
        <v/>
      </c>
      <c r="C74" s="135" t="str">
        <f>IF('MD Register'!B70="","",'MD Register'!C70)</f>
        <v/>
      </c>
      <c r="D74" s="135" t="str">
        <f>IF('MD Register'!B70="","",'MD Register'!D70)</f>
        <v/>
      </c>
      <c r="E74" s="135" t="str">
        <f>IF('MD Register'!B70="","",'MD Register'!E70)</f>
        <v/>
      </c>
      <c r="F74" s="136" t="str">
        <f>IF('MD Register'!B70="","",'MD Register'!F70)</f>
        <v/>
      </c>
      <c r="G74" s="136" t="str">
        <f>IF('MD Register'!B70="","",'MD Register'!V70)</f>
        <v/>
      </c>
      <c r="H74" s="136" t="str">
        <f>IF('MD Register'!B70="","",'MD Register'!AC70)</f>
        <v/>
      </c>
      <c r="I74" s="136" t="str">
        <f>IF('MD Register'!B70="","",'MD Register'!W70)</f>
        <v/>
      </c>
      <c r="J74" s="137" t="str">
        <f>IF('MD Register'!B70="","",'MD Register'!X70)</f>
        <v/>
      </c>
      <c r="K74" s="135" t="str">
        <f>IF('MD Register'!B70="","",'MD Register'!Y70)</f>
        <v/>
      </c>
    </row>
    <row r="75" spans="1:11" ht="15" customHeight="1" x14ac:dyDescent="0.45">
      <c r="A75" s="128" t="str">
        <f>IF('MD Register'!B71="","",'MD Register'!A71)</f>
        <v/>
      </c>
      <c r="B75" s="129" t="str">
        <f>IF('MD Register'!B71="","",'MD Register'!B71)</f>
        <v/>
      </c>
      <c r="C75" s="130" t="str">
        <f>IF('MD Register'!B71="","",'MD Register'!C71)</f>
        <v/>
      </c>
      <c r="D75" s="130" t="str">
        <f>IF('MD Register'!B71="","",'MD Register'!D71)</f>
        <v/>
      </c>
      <c r="E75" s="130" t="str">
        <f>IF('MD Register'!B71="","",'MD Register'!E71)</f>
        <v/>
      </c>
      <c r="F75" s="131" t="str">
        <f>IF('MD Register'!B71="","",'MD Register'!F71)</f>
        <v/>
      </c>
      <c r="G75" s="131" t="str">
        <f>IF('MD Register'!B71="","",'MD Register'!V71)</f>
        <v/>
      </c>
      <c r="H75" s="131" t="str">
        <f>IF('MD Register'!B71="","",'MD Register'!AC71)</f>
        <v/>
      </c>
      <c r="I75" s="131" t="str">
        <f>IF('MD Register'!B71="","",'MD Register'!W71)</f>
        <v/>
      </c>
      <c r="J75" s="132" t="str">
        <f>IF('MD Register'!B71="","",'MD Register'!X71)</f>
        <v/>
      </c>
      <c r="K75" s="130" t="str">
        <f>IF('MD Register'!B71="","",'MD Register'!Y71)</f>
        <v/>
      </c>
    </row>
    <row r="76" spans="1:11" ht="15" customHeight="1" x14ac:dyDescent="0.45">
      <c r="A76" s="133" t="str">
        <f>IF('MD Register'!B72="","",'MD Register'!A72)</f>
        <v/>
      </c>
      <c r="B76" s="134" t="str">
        <f>IF('MD Register'!B72="","",'MD Register'!B72)</f>
        <v/>
      </c>
      <c r="C76" s="135" t="str">
        <f>IF('MD Register'!B72="","",'MD Register'!C72)</f>
        <v/>
      </c>
      <c r="D76" s="135" t="str">
        <f>IF('MD Register'!B72="","",'MD Register'!D72)</f>
        <v/>
      </c>
      <c r="E76" s="135" t="str">
        <f>IF('MD Register'!B72="","",'MD Register'!E72)</f>
        <v/>
      </c>
      <c r="F76" s="136" t="str">
        <f>IF('MD Register'!B72="","",'MD Register'!F72)</f>
        <v/>
      </c>
      <c r="G76" s="136" t="str">
        <f>IF('MD Register'!B72="","",'MD Register'!V72)</f>
        <v/>
      </c>
      <c r="H76" s="136" t="str">
        <f>IF('MD Register'!B72="","",'MD Register'!AC72)</f>
        <v/>
      </c>
      <c r="I76" s="136" t="str">
        <f>IF('MD Register'!B72="","",'MD Register'!W72)</f>
        <v/>
      </c>
      <c r="J76" s="137" t="str">
        <f>IF('MD Register'!B72="","",'MD Register'!X72)</f>
        <v/>
      </c>
      <c r="K76" s="135" t="str">
        <f>IF('MD Register'!B72="","",'MD Register'!Y72)</f>
        <v/>
      </c>
    </row>
    <row r="77" spans="1:11" ht="15" customHeight="1" x14ac:dyDescent="0.45">
      <c r="A77" s="128" t="str">
        <f>IF('MD Register'!B73="","",'MD Register'!A73)</f>
        <v/>
      </c>
      <c r="B77" s="129" t="str">
        <f>IF('MD Register'!B73="","",'MD Register'!B73)</f>
        <v/>
      </c>
      <c r="C77" s="130" t="str">
        <f>IF('MD Register'!B73="","",'MD Register'!C73)</f>
        <v/>
      </c>
      <c r="D77" s="130" t="str">
        <f>IF('MD Register'!B73="","",'MD Register'!D73)</f>
        <v/>
      </c>
      <c r="E77" s="130" t="str">
        <f>IF('MD Register'!B73="","",'MD Register'!E73)</f>
        <v/>
      </c>
      <c r="F77" s="131" t="str">
        <f>IF('MD Register'!B73="","",'MD Register'!F73)</f>
        <v/>
      </c>
      <c r="G77" s="131" t="str">
        <f>IF('MD Register'!B73="","",'MD Register'!V73)</f>
        <v/>
      </c>
      <c r="H77" s="131" t="str">
        <f>IF('MD Register'!B73="","",'MD Register'!AC73)</f>
        <v/>
      </c>
      <c r="I77" s="131" t="str">
        <f>IF('MD Register'!B73="","",'MD Register'!W73)</f>
        <v/>
      </c>
      <c r="J77" s="132" t="str">
        <f>IF('MD Register'!B73="","",'MD Register'!X73)</f>
        <v/>
      </c>
      <c r="K77" s="130" t="str">
        <f>IF('MD Register'!B73="","",'MD Register'!Y73)</f>
        <v/>
      </c>
    </row>
    <row r="78" spans="1:11" ht="15" customHeight="1" x14ac:dyDescent="0.45">
      <c r="A78" s="133" t="str">
        <f>IF('MD Register'!B74="","",'MD Register'!A74)</f>
        <v/>
      </c>
      <c r="B78" s="134" t="str">
        <f>IF('MD Register'!B74="","",'MD Register'!B74)</f>
        <v/>
      </c>
      <c r="C78" s="135" t="str">
        <f>IF('MD Register'!B74="","",'MD Register'!C74)</f>
        <v/>
      </c>
      <c r="D78" s="135" t="str">
        <f>IF('MD Register'!B74="","",'MD Register'!D74)</f>
        <v/>
      </c>
      <c r="E78" s="135" t="str">
        <f>IF('MD Register'!B74="","",'MD Register'!E74)</f>
        <v/>
      </c>
      <c r="F78" s="136" t="str">
        <f>IF('MD Register'!B74="","",'MD Register'!F74)</f>
        <v/>
      </c>
      <c r="G78" s="136" t="str">
        <f>IF('MD Register'!B74="","",'MD Register'!V74)</f>
        <v/>
      </c>
      <c r="H78" s="136" t="str">
        <f>IF('MD Register'!B74="","",'MD Register'!AC74)</f>
        <v/>
      </c>
      <c r="I78" s="136" t="str">
        <f>IF('MD Register'!B74="","",'MD Register'!W74)</f>
        <v/>
      </c>
      <c r="J78" s="137" t="str">
        <f>IF('MD Register'!B74="","",'MD Register'!X74)</f>
        <v/>
      </c>
      <c r="K78" s="135" t="str">
        <f>IF('MD Register'!B74="","",'MD Register'!Y74)</f>
        <v/>
      </c>
    </row>
    <row r="79" spans="1:11" ht="15" customHeight="1" x14ac:dyDescent="0.45">
      <c r="A79" s="128" t="str">
        <f>IF('MD Register'!B75="","",'MD Register'!A75)</f>
        <v/>
      </c>
      <c r="B79" s="129" t="str">
        <f>IF('MD Register'!B75="","",'MD Register'!B75)</f>
        <v/>
      </c>
      <c r="C79" s="130" t="str">
        <f>IF('MD Register'!B75="","",'MD Register'!C75)</f>
        <v/>
      </c>
      <c r="D79" s="130" t="str">
        <f>IF('MD Register'!B75="","",'MD Register'!D75)</f>
        <v/>
      </c>
      <c r="E79" s="130" t="str">
        <f>IF('MD Register'!B75="","",'MD Register'!E75)</f>
        <v/>
      </c>
      <c r="F79" s="131" t="str">
        <f>IF('MD Register'!B75="","",'MD Register'!F75)</f>
        <v/>
      </c>
      <c r="G79" s="131" t="str">
        <f>IF('MD Register'!B75="","",'MD Register'!V75)</f>
        <v/>
      </c>
      <c r="H79" s="131" t="str">
        <f>IF('MD Register'!B75="","",'MD Register'!AC75)</f>
        <v/>
      </c>
      <c r="I79" s="131" t="str">
        <f>IF('MD Register'!B75="","",'MD Register'!W75)</f>
        <v/>
      </c>
      <c r="J79" s="132" t="str">
        <f>IF('MD Register'!B75="","",'MD Register'!X75)</f>
        <v/>
      </c>
      <c r="K79" s="130" t="str">
        <f>IF('MD Register'!B75="","",'MD Register'!Y75)</f>
        <v/>
      </c>
    </row>
    <row r="80" spans="1:11" ht="15" customHeight="1" x14ac:dyDescent="0.45">
      <c r="A80" s="133" t="str">
        <f>IF('MD Register'!B76="","",'MD Register'!A76)</f>
        <v/>
      </c>
      <c r="B80" s="134" t="str">
        <f>IF('MD Register'!B76="","",'MD Register'!B76)</f>
        <v/>
      </c>
      <c r="C80" s="135" t="str">
        <f>IF('MD Register'!B76="","",'MD Register'!C76)</f>
        <v/>
      </c>
      <c r="D80" s="135" t="str">
        <f>IF('MD Register'!B76="","",'MD Register'!D76)</f>
        <v/>
      </c>
      <c r="E80" s="135" t="str">
        <f>IF('MD Register'!B76="","",'MD Register'!E76)</f>
        <v/>
      </c>
      <c r="F80" s="136" t="str">
        <f>IF('MD Register'!B76="","",'MD Register'!F76)</f>
        <v/>
      </c>
      <c r="G80" s="136" t="str">
        <f>IF('MD Register'!B76="","",'MD Register'!V76)</f>
        <v/>
      </c>
      <c r="H80" s="136" t="str">
        <f>IF('MD Register'!B76="","",'MD Register'!AC76)</f>
        <v/>
      </c>
      <c r="I80" s="136" t="str">
        <f>IF('MD Register'!B76="","",'MD Register'!W76)</f>
        <v/>
      </c>
      <c r="J80" s="137" t="str">
        <f>IF('MD Register'!B76="","",'MD Register'!X76)</f>
        <v/>
      </c>
      <c r="K80" s="135" t="str">
        <f>IF('MD Register'!B76="","",'MD Register'!Y76)</f>
        <v/>
      </c>
    </row>
    <row r="81" spans="1:11" ht="15" customHeight="1" x14ac:dyDescent="0.45">
      <c r="A81" s="128" t="str">
        <f>IF('MD Register'!B77="","",'MD Register'!A77)</f>
        <v/>
      </c>
      <c r="B81" s="129" t="str">
        <f>IF('MD Register'!B77="","",'MD Register'!B77)</f>
        <v/>
      </c>
      <c r="C81" s="130" t="str">
        <f>IF('MD Register'!B77="","",'MD Register'!C77)</f>
        <v/>
      </c>
      <c r="D81" s="130" t="str">
        <f>IF('MD Register'!B77="","",'MD Register'!D77)</f>
        <v/>
      </c>
      <c r="E81" s="130" t="str">
        <f>IF('MD Register'!B77="","",'MD Register'!E77)</f>
        <v/>
      </c>
      <c r="F81" s="131" t="str">
        <f>IF('MD Register'!B77="","",'MD Register'!F77)</f>
        <v/>
      </c>
      <c r="G81" s="131" t="str">
        <f>IF('MD Register'!B77="","",'MD Register'!V77)</f>
        <v/>
      </c>
      <c r="H81" s="131" t="str">
        <f>IF('MD Register'!B77="","",'MD Register'!AC77)</f>
        <v/>
      </c>
      <c r="I81" s="131" t="str">
        <f>IF('MD Register'!B77="","",'MD Register'!W77)</f>
        <v/>
      </c>
      <c r="J81" s="132" t="str">
        <f>IF('MD Register'!B77="","",'MD Register'!X77)</f>
        <v/>
      </c>
      <c r="K81" s="130" t="str">
        <f>IF('MD Register'!B77="","",'MD Register'!Y77)</f>
        <v/>
      </c>
    </row>
    <row r="82" spans="1:11" ht="15" customHeight="1" x14ac:dyDescent="0.45">
      <c r="A82" s="133" t="str">
        <f>IF('MD Register'!B78="","",'MD Register'!A78)</f>
        <v/>
      </c>
      <c r="B82" s="134" t="str">
        <f>IF('MD Register'!B78="","",'MD Register'!B78)</f>
        <v/>
      </c>
      <c r="C82" s="135" t="str">
        <f>IF('MD Register'!B78="","",'MD Register'!C78)</f>
        <v/>
      </c>
      <c r="D82" s="135" t="str">
        <f>IF('MD Register'!B78="","",'MD Register'!D78)</f>
        <v/>
      </c>
      <c r="E82" s="135" t="str">
        <f>IF('MD Register'!B78="","",'MD Register'!E78)</f>
        <v/>
      </c>
      <c r="F82" s="136" t="str">
        <f>IF('MD Register'!B78="","",'MD Register'!F78)</f>
        <v/>
      </c>
      <c r="G82" s="136" t="str">
        <f>IF('MD Register'!B78="","",'MD Register'!V78)</f>
        <v/>
      </c>
      <c r="H82" s="136" t="str">
        <f>IF('MD Register'!B78="","",'MD Register'!AC78)</f>
        <v/>
      </c>
      <c r="I82" s="136" t="str">
        <f>IF('MD Register'!B78="","",'MD Register'!W78)</f>
        <v/>
      </c>
      <c r="J82" s="137" t="str">
        <f>IF('MD Register'!B78="","",'MD Register'!X78)</f>
        <v/>
      </c>
      <c r="K82" s="135" t="str">
        <f>IF('MD Register'!B78="","",'MD Register'!Y78)</f>
        <v/>
      </c>
    </row>
    <row r="83" spans="1:11" ht="15" customHeight="1" x14ac:dyDescent="0.45">
      <c r="A83" s="128" t="str">
        <f>IF('MD Register'!B79="","",'MD Register'!A79)</f>
        <v/>
      </c>
      <c r="B83" s="129" t="str">
        <f>IF('MD Register'!B79="","",'MD Register'!B79)</f>
        <v/>
      </c>
      <c r="C83" s="130" t="str">
        <f>IF('MD Register'!B79="","",'MD Register'!C79)</f>
        <v/>
      </c>
      <c r="D83" s="130" t="str">
        <f>IF('MD Register'!B79="","",'MD Register'!D79)</f>
        <v/>
      </c>
      <c r="E83" s="130" t="str">
        <f>IF('MD Register'!B79="","",'MD Register'!E79)</f>
        <v/>
      </c>
      <c r="F83" s="131" t="str">
        <f>IF('MD Register'!B79="","",'MD Register'!F79)</f>
        <v/>
      </c>
      <c r="G83" s="131" t="str">
        <f>IF('MD Register'!B79="","",'MD Register'!V79)</f>
        <v/>
      </c>
      <c r="H83" s="131" t="str">
        <f>IF('MD Register'!B79="","",'MD Register'!AC79)</f>
        <v/>
      </c>
      <c r="I83" s="131" t="str">
        <f>IF('MD Register'!B79="","",'MD Register'!W79)</f>
        <v/>
      </c>
      <c r="J83" s="132" t="str">
        <f>IF('MD Register'!B79="","",'MD Register'!X79)</f>
        <v/>
      </c>
      <c r="K83" s="130" t="str">
        <f>IF('MD Register'!B79="","",'MD Register'!Y79)</f>
        <v/>
      </c>
    </row>
    <row r="84" spans="1:11" ht="15" customHeight="1" x14ac:dyDescent="0.45">
      <c r="A84" s="133" t="str">
        <f>IF('MD Register'!B80="","",'MD Register'!A80)</f>
        <v/>
      </c>
      <c r="B84" s="134" t="str">
        <f>IF('MD Register'!B80="","",'MD Register'!B80)</f>
        <v/>
      </c>
      <c r="C84" s="135" t="str">
        <f>IF('MD Register'!B80="","",'MD Register'!C80)</f>
        <v/>
      </c>
      <c r="D84" s="135" t="str">
        <f>IF('MD Register'!B80="","",'MD Register'!D80)</f>
        <v/>
      </c>
      <c r="E84" s="135" t="str">
        <f>IF('MD Register'!B80="","",'MD Register'!E80)</f>
        <v/>
      </c>
      <c r="F84" s="136" t="str">
        <f>IF('MD Register'!B80="","",'MD Register'!F80)</f>
        <v/>
      </c>
      <c r="G84" s="136" t="str">
        <f>IF('MD Register'!B80="","",'MD Register'!V80)</f>
        <v/>
      </c>
      <c r="H84" s="136" t="str">
        <f>IF('MD Register'!B80="","",'MD Register'!AC80)</f>
        <v/>
      </c>
      <c r="I84" s="136" t="str">
        <f>IF('MD Register'!B80="","",'MD Register'!W80)</f>
        <v/>
      </c>
      <c r="J84" s="137" t="str">
        <f>IF('MD Register'!B80="","",'MD Register'!X80)</f>
        <v/>
      </c>
      <c r="K84" s="135" t="str">
        <f>IF('MD Register'!B80="","",'MD Register'!Y80)</f>
        <v/>
      </c>
    </row>
    <row r="85" spans="1:11" ht="15" customHeight="1" x14ac:dyDescent="0.45">
      <c r="A85" s="128" t="str">
        <f>IF('MD Register'!B81="","",'MD Register'!A81)</f>
        <v/>
      </c>
      <c r="B85" s="129" t="str">
        <f>IF('MD Register'!B81="","",'MD Register'!B81)</f>
        <v/>
      </c>
      <c r="C85" s="130" t="str">
        <f>IF('MD Register'!B81="","",'MD Register'!C81)</f>
        <v/>
      </c>
      <c r="D85" s="130" t="str">
        <f>IF('MD Register'!B81="","",'MD Register'!D81)</f>
        <v/>
      </c>
      <c r="E85" s="130" t="str">
        <f>IF('MD Register'!B81="","",'MD Register'!E81)</f>
        <v/>
      </c>
      <c r="F85" s="131" t="str">
        <f>IF('MD Register'!B81="","",'MD Register'!F81)</f>
        <v/>
      </c>
      <c r="G85" s="131" t="str">
        <f>IF('MD Register'!B81="","",'MD Register'!V81)</f>
        <v/>
      </c>
      <c r="H85" s="131" t="str">
        <f>IF('MD Register'!B81="","",'MD Register'!AC81)</f>
        <v/>
      </c>
      <c r="I85" s="131" t="str">
        <f>IF('MD Register'!B81="","",'MD Register'!W81)</f>
        <v/>
      </c>
      <c r="J85" s="132" t="str">
        <f>IF('MD Register'!B81="","",'MD Register'!X81)</f>
        <v/>
      </c>
      <c r="K85" s="130" t="str">
        <f>IF('MD Register'!B81="","",'MD Register'!Y81)</f>
        <v/>
      </c>
    </row>
    <row r="86" spans="1:11" ht="15" customHeight="1" x14ac:dyDescent="0.45">
      <c r="A86" s="133" t="str">
        <f>IF('MD Register'!B82="","",'MD Register'!A82)</f>
        <v/>
      </c>
      <c r="B86" s="134" t="str">
        <f>IF('MD Register'!B82="","",'MD Register'!B82)</f>
        <v/>
      </c>
      <c r="C86" s="135" t="str">
        <f>IF('MD Register'!B82="","",'MD Register'!C82)</f>
        <v/>
      </c>
      <c r="D86" s="135" t="str">
        <f>IF('MD Register'!B82="","",'MD Register'!D82)</f>
        <v/>
      </c>
      <c r="E86" s="135" t="str">
        <f>IF('MD Register'!B82="","",'MD Register'!E82)</f>
        <v/>
      </c>
      <c r="F86" s="136" t="str">
        <f>IF('MD Register'!B82="","",'MD Register'!F82)</f>
        <v/>
      </c>
      <c r="G86" s="136" t="str">
        <f>IF('MD Register'!B82="","",'MD Register'!V82)</f>
        <v/>
      </c>
      <c r="H86" s="136" t="str">
        <f>IF('MD Register'!B82="","",'MD Register'!AC82)</f>
        <v/>
      </c>
      <c r="I86" s="136" t="str">
        <f>IF('MD Register'!B82="","",'MD Register'!W82)</f>
        <v/>
      </c>
      <c r="J86" s="137" t="str">
        <f>IF('MD Register'!B82="","",'MD Register'!X82)</f>
        <v/>
      </c>
      <c r="K86" s="135" t="str">
        <f>IF('MD Register'!B82="","",'MD Register'!Y82)</f>
        <v/>
      </c>
    </row>
    <row r="87" spans="1:11" ht="15" customHeight="1" x14ac:dyDescent="0.45">
      <c r="A87" s="128" t="str">
        <f>IF('MD Register'!B83="","",'MD Register'!A83)</f>
        <v/>
      </c>
      <c r="B87" s="129" t="str">
        <f>IF('MD Register'!B83="","",'MD Register'!B83)</f>
        <v/>
      </c>
      <c r="C87" s="130" t="str">
        <f>IF('MD Register'!B83="","",'MD Register'!C83)</f>
        <v/>
      </c>
      <c r="D87" s="130" t="str">
        <f>IF('MD Register'!B83="","",'MD Register'!D83)</f>
        <v/>
      </c>
      <c r="E87" s="130" t="str">
        <f>IF('MD Register'!B83="","",'MD Register'!E83)</f>
        <v/>
      </c>
      <c r="F87" s="131" t="str">
        <f>IF('MD Register'!B83="","",'MD Register'!F83)</f>
        <v/>
      </c>
      <c r="G87" s="131" t="str">
        <f>IF('MD Register'!B83="","",'MD Register'!V83)</f>
        <v/>
      </c>
      <c r="H87" s="131" t="str">
        <f>IF('MD Register'!B83="","",'MD Register'!AC83)</f>
        <v/>
      </c>
      <c r="I87" s="131" t="str">
        <f>IF('MD Register'!B83="","",'MD Register'!W83)</f>
        <v/>
      </c>
      <c r="J87" s="132" t="str">
        <f>IF('MD Register'!B83="","",'MD Register'!X83)</f>
        <v/>
      </c>
      <c r="K87" s="130" t="str">
        <f>IF('MD Register'!B83="","",'MD Register'!Y83)</f>
        <v/>
      </c>
    </row>
    <row r="88" spans="1:11" ht="15" customHeight="1" x14ac:dyDescent="0.45">
      <c r="A88" s="133" t="str">
        <f>IF('MD Register'!B84="","",'MD Register'!A84)</f>
        <v/>
      </c>
      <c r="B88" s="134" t="str">
        <f>IF('MD Register'!B84="","",'MD Register'!B84)</f>
        <v/>
      </c>
      <c r="C88" s="135" t="str">
        <f>IF('MD Register'!B84="","",'MD Register'!C84)</f>
        <v/>
      </c>
      <c r="D88" s="135" t="str">
        <f>IF('MD Register'!B84="","",'MD Register'!D84)</f>
        <v/>
      </c>
      <c r="E88" s="135" t="str">
        <f>IF('MD Register'!B84="","",'MD Register'!E84)</f>
        <v/>
      </c>
      <c r="F88" s="136" t="str">
        <f>IF('MD Register'!B84="","",'MD Register'!F84)</f>
        <v/>
      </c>
      <c r="G88" s="136" t="str">
        <f>IF('MD Register'!B84="","",'MD Register'!V84)</f>
        <v/>
      </c>
      <c r="H88" s="136" t="str">
        <f>IF('MD Register'!B84="","",'MD Register'!AC84)</f>
        <v/>
      </c>
      <c r="I88" s="136" t="str">
        <f>IF('MD Register'!B84="","",'MD Register'!W84)</f>
        <v/>
      </c>
      <c r="J88" s="137" t="str">
        <f>IF('MD Register'!B84="","",'MD Register'!X84)</f>
        <v/>
      </c>
      <c r="K88" s="135" t="str">
        <f>IF('MD Register'!B84="","",'MD Register'!Y84)</f>
        <v/>
      </c>
    </row>
    <row r="89" spans="1:11" ht="15" customHeight="1" x14ac:dyDescent="0.45">
      <c r="A89" s="128" t="str">
        <f>IF('MD Register'!B85="","",'MD Register'!A85)</f>
        <v/>
      </c>
      <c r="B89" s="129" t="str">
        <f>IF('MD Register'!B85="","",'MD Register'!B85)</f>
        <v/>
      </c>
      <c r="C89" s="130" t="str">
        <f>IF('MD Register'!B85="","",'MD Register'!C85)</f>
        <v/>
      </c>
      <c r="D89" s="130" t="str">
        <f>IF('MD Register'!B85="","",'MD Register'!D85)</f>
        <v/>
      </c>
      <c r="E89" s="130" t="str">
        <f>IF('MD Register'!B85="","",'MD Register'!E85)</f>
        <v/>
      </c>
      <c r="F89" s="131" t="str">
        <f>IF('MD Register'!B85="","",'MD Register'!F85)</f>
        <v/>
      </c>
      <c r="G89" s="131" t="str">
        <f>IF('MD Register'!B85="","",'MD Register'!V85)</f>
        <v/>
      </c>
      <c r="H89" s="131" t="str">
        <f>IF('MD Register'!B85="","",'MD Register'!AC85)</f>
        <v/>
      </c>
      <c r="I89" s="131" t="str">
        <f>IF('MD Register'!B85="","",'MD Register'!W85)</f>
        <v/>
      </c>
      <c r="J89" s="132" t="str">
        <f>IF('MD Register'!B85="","",'MD Register'!X85)</f>
        <v/>
      </c>
      <c r="K89" s="130" t="str">
        <f>IF('MD Register'!B85="","",'MD Register'!Y85)</f>
        <v/>
      </c>
    </row>
    <row r="90" spans="1:11" ht="15" customHeight="1" x14ac:dyDescent="0.45">
      <c r="A90" s="133" t="str">
        <f>IF('MD Register'!B86="","",'MD Register'!A86)</f>
        <v/>
      </c>
      <c r="B90" s="134" t="str">
        <f>IF('MD Register'!B86="","",'MD Register'!B86)</f>
        <v/>
      </c>
      <c r="C90" s="135" t="str">
        <f>IF('MD Register'!B86="","",'MD Register'!C86)</f>
        <v/>
      </c>
      <c r="D90" s="135" t="str">
        <f>IF('MD Register'!B86="","",'MD Register'!D86)</f>
        <v/>
      </c>
      <c r="E90" s="135" t="str">
        <f>IF('MD Register'!B86="","",'MD Register'!E86)</f>
        <v/>
      </c>
      <c r="F90" s="136" t="str">
        <f>IF('MD Register'!B86="","",'MD Register'!F86)</f>
        <v/>
      </c>
      <c r="G90" s="136" t="str">
        <f>IF('MD Register'!B86="","",'MD Register'!V86)</f>
        <v/>
      </c>
      <c r="H90" s="136" t="str">
        <f>IF('MD Register'!B86="","",'MD Register'!AC86)</f>
        <v/>
      </c>
      <c r="I90" s="136" t="str">
        <f>IF('MD Register'!B86="","",'MD Register'!W86)</f>
        <v/>
      </c>
      <c r="J90" s="137" t="str">
        <f>IF('MD Register'!B86="","",'MD Register'!X86)</f>
        <v/>
      </c>
      <c r="K90" s="135" t="str">
        <f>IF('MD Register'!B86="","",'MD Register'!Y86)</f>
        <v/>
      </c>
    </row>
    <row r="91" spans="1:11" ht="15" customHeight="1" x14ac:dyDescent="0.45">
      <c r="A91" s="128" t="str">
        <f>IF('MD Register'!B87="","",'MD Register'!A87)</f>
        <v/>
      </c>
      <c r="B91" s="129" t="str">
        <f>IF('MD Register'!B87="","",'MD Register'!B87)</f>
        <v/>
      </c>
      <c r="C91" s="130" t="str">
        <f>IF('MD Register'!B87="","",'MD Register'!C87)</f>
        <v/>
      </c>
      <c r="D91" s="130" t="str">
        <f>IF('MD Register'!B87="","",'MD Register'!D87)</f>
        <v/>
      </c>
      <c r="E91" s="130" t="str">
        <f>IF('MD Register'!B87="","",'MD Register'!E87)</f>
        <v/>
      </c>
      <c r="F91" s="131" t="str">
        <f>IF('MD Register'!B87="","",'MD Register'!F87)</f>
        <v/>
      </c>
      <c r="G91" s="131" t="str">
        <f>IF('MD Register'!B87="","",'MD Register'!V87)</f>
        <v/>
      </c>
      <c r="H91" s="131" t="str">
        <f>IF('MD Register'!B87="","",'MD Register'!AC87)</f>
        <v/>
      </c>
      <c r="I91" s="131" t="str">
        <f>IF('MD Register'!B87="","",'MD Register'!W87)</f>
        <v/>
      </c>
      <c r="J91" s="132" t="str">
        <f>IF('MD Register'!B87="","",'MD Register'!X87)</f>
        <v/>
      </c>
      <c r="K91" s="130" t="str">
        <f>IF('MD Register'!B87="","",'MD Register'!Y87)</f>
        <v/>
      </c>
    </row>
    <row r="92" spans="1:11" ht="15" customHeight="1" x14ac:dyDescent="0.45">
      <c r="A92" s="133" t="str">
        <f>IF('MD Register'!B88="","",'MD Register'!A88)</f>
        <v/>
      </c>
      <c r="B92" s="134" t="str">
        <f>IF('MD Register'!B88="","",'MD Register'!B88)</f>
        <v/>
      </c>
      <c r="C92" s="135" t="str">
        <f>IF('MD Register'!B88="","",'MD Register'!C88)</f>
        <v/>
      </c>
      <c r="D92" s="135" t="str">
        <f>IF('MD Register'!B88="","",'MD Register'!D88)</f>
        <v/>
      </c>
      <c r="E92" s="135" t="str">
        <f>IF('MD Register'!B88="","",'MD Register'!E88)</f>
        <v/>
      </c>
      <c r="F92" s="136" t="str">
        <f>IF('MD Register'!B88="","",'MD Register'!F88)</f>
        <v/>
      </c>
      <c r="G92" s="136" t="str">
        <f>IF('MD Register'!B88="","",'MD Register'!V88)</f>
        <v/>
      </c>
      <c r="H92" s="136" t="str">
        <f>IF('MD Register'!B88="","",'MD Register'!AC88)</f>
        <v/>
      </c>
      <c r="I92" s="136" t="str">
        <f>IF('MD Register'!B88="","",'MD Register'!W88)</f>
        <v/>
      </c>
      <c r="J92" s="137" t="str">
        <f>IF('MD Register'!B88="","",'MD Register'!X88)</f>
        <v/>
      </c>
      <c r="K92" s="135" t="str">
        <f>IF('MD Register'!B88="","",'MD Register'!Y88)</f>
        <v/>
      </c>
    </row>
    <row r="93" spans="1:11" ht="15" customHeight="1" x14ac:dyDescent="0.45">
      <c r="A93" s="128" t="str">
        <f>IF('MD Register'!B89="","",'MD Register'!A89)</f>
        <v/>
      </c>
      <c r="B93" s="129" t="str">
        <f>IF('MD Register'!B89="","",'MD Register'!B89)</f>
        <v/>
      </c>
      <c r="C93" s="130" t="str">
        <f>IF('MD Register'!B89="","",'MD Register'!C89)</f>
        <v/>
      </c>
      <c r="D93" s="130" t="str">
        <f>IF('MD Register'!B89="","",'MD Register'!D89)</f>
        <v/>
      </c>
      <c r="E93" s="130" t="str">
        <f>IF('MD Register'!B89="","",'MD Register'!E89)</f>
        <v/>
      </c>
      <c r="F93" s="131" t="str">
        <f>IF('MD Register'!B89="","",'MD Register'!F89)</f>
        <v/>
      </c>
      <c r="G93" s="131" t="str">
        <f>IF('MD Register'!B89="","",'MD Register'!V89)</f>
        <v/>
      </c>
      <c r="H93" s="131" t="str">
        <f>IF('MD Register'!B89="","",'MD Register'!AC89)</f>
        <v/>
      </c>
      <c r="I93" s="131" t="str">
        <f>IF('MD Register'!B89="","",'MD Register'!W89)</f>
        <v/>
      </c>
      <c r="J93" s="132" t="str">
        <f>IF('MD Register'!B89="","",'MD Register'!X89)</f>
        <v/>
      </c>
      <c r="K93" s="130" t="str">
        <f>IF('MD Register'!B89="","",'MD Register'!Y89)</f>
        <v/>
      </c>
    </row>
    <row r="94" spans="1:11" ht="15" customHeight="1" x14ac:dyDescent="0.45">
      <c r="A94" s="133" t="str">
        <f>IF('MD Register'!B90="","",'MD Register'!A90)</f>
        <v/>
      </c>
      <c r="B94" s="134" t="str">
        <f>IF('MD Register'!B90="","",'MD Register'!B90)</f>
        <v/>
      </c>
      <c r="C94" s="135" t="str">
        <f>IF('MD Register'!B90="","",'MD Register'!C90)</f>
        <v/>
      </c>
      <c r="D94" s="135" t="str">
        <f>IF('MD Register'!B90="","",'MD Register'!D90)</f>
        <v/>
      </c>
      <c r="E94" s="135" t="str">
        <f>IF('MD Register'!B90="","",'MD Register'!E90)</f>
        <v/>
      </c>
      <c r="F94" s="136" t="str">
        <f>IF('MD Register'!B90="","",'MD Register'!F90)</f>
        <v/>
      </c>
      <c r="G94" s="136" t="str">
        <f>IF('MD Register'!B90="","",'MD Register'!V90)</f>
        <v/>
      </c>
      <c r="H94" s="136" t="str">
        <f>IF('MD Register'!B90="","",'MD Register'!AC90)</f>
        <v/>
      </c>
      <c r="I94" s="136" t="str">
        <f>IF('MD Register'!B90="","",'MD Register'!W90)</f>
        <v/>
      </c>
      <c r="J94" s="137" t="str">
        <f>IF('MD Register'!B90="","",'MD Register'!X90)</f>
        <v/>
      </c>
      <c r="K94" s="135" t="str">
        <f>IF('MD Register'!B90="","",'MD Register'!Y90)</f>
        <v/>
      </c>
    </row>
    <row r="95" spans="1:11" ht="15" customHeight="1" x14ac:dyDescent="0.45">
      <c r="A95" s="128" t="str">
        <f>IF('MD Register'!B91="","",'MD Register'!A91)</f>
        <v/>
      </c>
      <c r="B95" s="129" t="str">
        <f>IF('MD Register'!B91="","",'MD Register'!B91)</f>
        <v/>
      </c>
      <c r="C95" s="130" t="str">
        <f>IF('MD Register'!B91="","",'MD Register'!C91)</f>
        <v/>
      </c>
      <c r="D95" s="130" t="str">
        <f>IF('MD Register'!B91="","",'MD Register'!D91)</f>
        <v/>
      </c>
      <c r="E95" s="130" t="str">
        <f>IF('MD Register'!B91="","",'MD Register'!E91)</f>
        <v/>
      </c>
      <c r="F95" s="131" t="str">
        <f>IF('MD Register'!B91="","",'MD Register'!F91)</f>
        <v/>
      </c>
      <c r="G95" s="131" t="str">
        <f>IF('MD Register'!B91="","",'MD Register'!V91)</f>
        <v/>
      </c>
      <c r="H95" s="131" t="str">
        <f>IF('MD Register'!B91="","",'MD Register'!AC91)</f>
        <v/>
      </c>
      <c r="I95" s="131" t="str">
        <f>IF('MD Register'!B91="","",'MD Register'!W91)</f>
        <v/>
      </c>
      <c r="J95" s="132" t="str">
        <f>IF('MD Register'!B91="","",'MD Register'!X91)</f>
        <v/>
      </c>
      <c r="K95" s="130" t="str">
        <f>IF('MD Register'!B91="","",'MD Register'!Y91)</f>
        <v/>
      </c>
    </row>
    <row r="96" spans="1:11" ht="15" customHeight="1" x14ac:dyDescent="0.45">
      <c r="A96" s="133" t="str">
        <f>IF('MD Register'!B92="","",'MD Register'!A92)</f>
        <v/>
      </c>
      <c r="B96" s="134" t="str">
        <f>IF('MD Register'!B92="","",'MD Register'!B92)</f>
        <v/>
      </c>
      <c r="C96" s="135" t="str">
        <f>IF('MD Register'!B92="","",'MD Register'!C92)</f>
        <v/>
      </c>
      <c r="D96" s="135" t="str">
        <f>IF('MD Register'!B92="","",'MD Register'!D92)</f>
        <v/>
      </c>
      <c r="E96" s="135" t="str">
        <f>IF('MD Register'!B92="","",'MD Register'!E92)</f>
        <v/>
      </c>
      <c r="F96" s="136" t="str">
        <f>IF('MD Register'!B92="","",'MD Register'!F92)</f>
        <v/>
      </c>
      <c r="G96" s="136" t="str">
        <f>IF('MD Register'!B92="","",'MD Register'!V92)</f>
        <v/>
      </c>
      <c r="H96" s="136" t="str">
        <f>IF('MD Register'!B92="","",'MD Register'!AC92)</f>
        <v/>
      </c>
      <c r="I96" s="136" t="str">
        <f>IF('MD Register'!B92="","",'MD Register'!W92)</f>
        <v/>
      </c>
      <c r="J96" s="137" t="str">
        <f>IF('MD Register'!B92="","",'MD Register'!X92)</f>
        <v/>
      </c>
      <c r="K96" s="135" t="str">
        <f>IF('MD Register'!B92="","",'MD Register'!Y92)</f>
        <v/>
      </c>
    </row>
    <row r="97" spans="1:11" ht="15" customHeight="1" x14ac:dyDescent="0.45">
      <c r="A97" s="128" t="str">
        <f>IF('MD Register'!B93="","",'MD Register'!A93)</f>
        <v/>
      </c>
      <c r="B97" s="129" t="str">
        <f>IF('MD Register'!B93="","",'MD Register'!B93)</f>
        <v/>
      </c>
      <c r="C97" s="130" t="str">
        <f>IF('MD Register'!B93="","",'MD Register'!C93)</f>
        <v/>
      </c>
      <c r="D97" s="130" t="str">
        <f>IF('MD Register'!B93="","",'MD Register'!D93)</f>
        <v/>
      </c>
      <c r="E97" s="130" t="str">
        <f>IF('MD Register'!B93="","",'MD Register'!E93)</f>
        <v/>
      </c>
      <c r="F97" s="131" t="str">
        <f>IF('MD Register'!B93="","",'MD Register'!F93)</f>
        <v/>
      </c>
      <c r="G97" s="131" t="str">
        <f>IF('MD Register'!B93="","",'MD Register'!V93)</f>
        <v/>
      </c>
      <c r="H97" s="131" t="str">
        <f>IF('MD Register'!B93="","",'MD Register'!AC93)</f>
        <v/>
      </c>
      <c r="I97" s="131" t="str">
        <f>IF('MD Register'!B93="","",'MD Register'!W93)</f>
        <v/>
      </c>
      <c r="J97" s="132" t="str">
        <f>IF('MD Register'!B93="","",'MD Register'!X93)</f>
        <v/>
      </c>
      <c r="K97" s="130" t="str">
        <f>IF('MD Register'!B93="","",'MD Register'!Y93)</f>
        <v/>
      </c>
    </row>
    <row r="98" spans="1:11" ht="15" customHeight="1" x14ac:dyDescent="0.45">
      <c r="A98" s="133" t="str">
        <f>IF('MD Register'!B94="","",'MD Register'!A94)</f>
        <v/>
      </c>
      <c r="B98" s="134" t="str">
        <f>IF('MD Register'!B94="","",'MD Register'!B94)</f>
        <v/>
      </c>
      <c r="C98" s="135" t="str">
        <f>IF('MD Register'!B94="","",'MD Register'!C94)</f>
        <v/>
      </c>
      <c r="D98" s="135" t="str">
        <f>IF('MD Register'!B94="","",'MD Register'!D94)</f>
        <v/>
      </c>
      <c r="E98" s="135" t="str">
        <f>IF('MD Register'!B94="","",'MD Register'!E94)</f>
        <v/>
      </c>
      <c r="F98" s="136" t="str">
        <f>IF('MD Register'!B94="","",'MD Register'!F94)</f>
        <v/>
      </c>
      <c r="G98" s="136" t="str">
        <f>IF('MD Register'!B94="","",'MD Register'!V94)</f>
        <v/>
      </c>
      <c r="H98" s="136" t="str">
        <f>IF('MD Register'!B94="","",'MD Register'!AC94)</f>
        <v/>
      </c>
      <c r="I98" s="136" t="str">
        <f>IF('MD Register'!B94="","",'MD Register'!W94)</f>
        <v/>
      </c>
      <c r="J98" s="137" t="str">
        <f>IF('MD Register'!B94="","",'MD Register'!X94)</f>
        <v/>
      </c>
      <c r="K98" s="135" t="str">
        <f>IF('MD Register'!B94="","",'MD Register'!Y94)</f>
        <v/>
      </c>
    </row>
    <row r="99" spans="1:11" ht="15" customHeight="1" x14ac:dyDescent="0.45">
      <c r="A99" s="128" t="str">
        <f>IF('MD Register'!B95="","",'MD Register'!A95)</f>
        <v/>
      </c>
      <c r="B99" s="129" t="str">
        <f>IF('MD Register'!B95="","",'MD Register'!B95)</f>
        <v/>
      </c>
      <c r="C99" s="130" t="str">
        <f>IF('MD Register'!B95="","",'MD Register'!C95)</f>
        <v/>
      </c>
      <c r="D99" s="130" t="str">
        <f>IF('MD Register'!B95="","",'MD Register'!D95)</f>
        <v/>
      </c>
      <c r="E99" s="130" t="str">
        <f>IF('MD Register'!B95="","",'MD Register'!E95)</f>
        <v/>
      </c>
      <c r="F99" s="131" t="str">
        <f>IF('MD Register'!B95="","",'MD Register'!F95)</f>
        <v/>
      </c>
      <c r="G99" s="131" t="str">
        <f>IF('MD Register'!B95="","",'MD Register'!V95)</f>
        <v/>
      </c>
      <c r="H99" s="131" t="str">
        <f>IF('MD Register'!B95="","",'MD Register'!AC95)</f>
        <v/>
      </c>
      <c r="I99" s="131" t="str">
        <f>IF('MD Register'!B95="","",'MD Register'!W95)</f>
        <v/>
      </c>
      <c r="J99" s="132" t="str">
        <f>IF('MD Register'!B95="","",'MD Register'!X95)</f>
        <v/>
      </c>
      <c r="K99" s="130" t="str">
        <f>IF('MD Register'!B95="","",'MD Register'!Y95)</f>
        <v/>
      </c>
    </row>
    <row r="100" spans="1:11" ht="15" customHeight="1" x14ac:dyDescent="0.45">
      <c r="A100" s="133" t="str">
        <f>IF('MD Register'!B96="","",'MD Register'!A96)</f>
        <v/>
      </c>
      <c r="B100" s="134" t="str">
        <f>IF('MD Register'!B96="","",'MD Register'!B96)</f>
        <v/>
      </c>
      <c r="C100" s="135" t="str">
        <f>IF('MD Register'!B96="","",'MD Register'!C96)</f>
        <v/>
      </c>
      <c r="D100" s="135" t="str">
        <f>IF('MD Register'!B96="","",'MD Register'!D96)</f>
        <v/>
      </c>
      <c r="E100" s="135" t="str">
        <f>IF('MD Register'!B96="","",'MD Register'!E96)</f>
        <v/>
      </c>
      <c r="F100" s="136" t="str">
        <f>IF('MD Register'!B96="","",'MD Register'!F96)</f>
        <v/>
      </c>
      <c r="G100" s="136" t="str">
        <f>IF('MD Register'!B96="","",'MD Register'!V96)</f>
        <v/>
      </c>
      <c r="H100" s="136" t="str">
        <f>IF('MD Register'!B96="","",'MD Register'!AC96)</f>
        <v/>
      </c>
      <c r="I100" s="136" t="str">
        <f>IF('MD Register'!B96="","",'MD Register'!W96)</f>
        <v/>
      </c>
      <c r="J100" s="137" t="str">
        <f>IF('MD Register'!B96="","",'MD Register'!X96)</f>
        <v/>
      </c>
      <c r="K100" s="135" t="str">
        <f>IF('MD Register'!B96="","",'MD Register'!Y96)</f>
        <v/>
      </c>
    </row>
    <row r="101" spans="1:11" ht="15" customHeight="1" x14ac:dyDescent="0.45">
      <c r="A101" s="128" t="str">
        <f>IF('MD Register'!B97="","",'MD Register'!A97)</f>
        <v/>
      </c>
      <c r="B101" s="129" t="str">
        <f>IF('MD Register'!B97="","",'MD Register'!B97)</f>
        <v/>
      </c>
      <c r="C101" s="130" t="str">
        <f>IF('MD Register'!B97="","",'MD Register'!C97)</f>
        <v/>
      </c>
      <c r="D101" s="130" t="str">
        <f>IF('MD Register'!B97="","",'MD Register'!D97)</f>
        <v/>
      </c>
      <c r="E101" s="130" t="str">
        <f>IF('MD Register'!B97="","",'MD Register'!E97)</f>
        <v/>
      </c>
      <c r="F101" s="131" t="str">
        <f>IF('MD Register'!B97="","",'MD Register'!F97)</f>
        <v/>
      </c>
      <c r="G101" s="131" t="str">
        <f>IF('MD Register'!B97="","",'MD Register'!V97)</f>
        <v/>
      </c>
      <c r="H101" s="131" t="str">
        <f>IF('MD Register'!B97="","",'MD Register'!AC97)</f>
        <v/>
      </c>
      <c r="I101" s="131" t="str">
        <f>IF('MD Register'!B97="","",'MD Register'!W97)</f>
        <v/>
      </c>
      <c r="J101" s="132" t="str">
        <f>IF('MD Register'!B97="","",'MD Register'!X97)</f>
        <v/>
      </c>
      <c r="K101" s="130" t="str">
        <f>IF('MD Register'!B97="","",'MD Register'!Y97)</f>
        <v/>
      </c>
    </row>
    <row r="102" spans="1:11" ht="15" customHeight="1" x14ac:dyDescent="0.45">
      <c r="A102" s="133" t="str">
        <f>IF('MD Register'!B98="","",'MD Register'!A98)</f>
        <v/>
      </c>
      <c r="B102" s="134" t="str">
        <f>IF('MD Register'!B98="","",'MD Register'!B98)</f>
        <v/>
      </c>
      <c r="C102" s="135" t="str">
        <f>IF('MD Register'!B98="","",'MD Register'!C98)</f>
        <v/>
      </c>
      <c r="D102" s="135" t="str">
        <f>IF('MD Register'!B98="","",'MD Register'!D98)</f>
        <v/>
      </c>
      <c r="E102" s="135" t="str">
        <f>IF('MD Register'!B98="","",'MD Register'!E98)</f>
        <v/>
      </c>
      <c r="F102" s="136" t="str">
        <f>IF('MD Register'!B98="","",'MD Register'!F98)</f>
        <v/>
      </c>
      <c r="G102" s="136" t="str">
        <f>IF('MD Register'!B98="","",'MD Register'!V98)</f>
        <v/>
      </c>
      <c r="H102" s="136" t="str">
        <f>IF('MD Register'!B98="","",'MD Register'!AC98)</f>
        <v/>
      </c>
      <c r="I102" s="136" t="str">
        <f>IF('MD Register'!B98="","",'MD Register'!W98)</f>
        <v/>
      </c>
      <c r="J102" s="137" t="str">
        <f>IF('MD Register'!B98="","",'MD Register'!X98)</f>
        <v/>
      </c>
      <c r="K102" s="135" t="str">
        <f>IF('MD Register'!B98="","",'MD Register'!Y98)</f>
        <v/>
      </c>
    </row>
    <row r="103" spans="1:11" ht="15" customHeight="1" x14ac:dyDescent="0.45">
      <c r="A103" s="128" t="str">
        <f>IF('MD Register'!B99="","",'MD Register'!A99)</f>
        <v/>
      </c>
      <c r="B103" s="129" t="str">
        <f>IF('MD Register'!B99="","",'MD Register'!B99)</f>
        <v/>
      </c>
      <c r="C103" s="130" t="str">
        <f>IF('MD Register'!B99="","",'MD Register'!C99)</f>
        <v/>
      </c>
      <c r="D103" s="130" t="str">
        <f>IF('MD Register'!B99="","",'MD Register'!D99)</f>
        <v/>
      </c>
      <c r="E103" s="130" t="str">
        <f>IF('MD Register'!B99="","",'MD Register'!E99)</f>
        <v/>
      </c>
      <c r="F103" s="131" t="str">
        <f>IF('MD Register'!B99="","",'MD Register'!F99)</f>
        <v/>
      </c>
      <c r="G103" s="131" t="str">
        <f>IF('MD Register'!B99="","",'MD Register'!V99)</f>
        <v/>
      </c>
      <c r="H103" s="131" t="str">
        <f>IF('MD Register'!B99="","",'MD Register'!AC99)</f>
        <v/>
      </c>
      <c r="I103" s="131" t="str">
        <f>IF('MD Register'!B99="","",'MD Register'!W99)</f>
        <v/>
      </c>
      <c r="J103" s="132" t="str">
        <f>IF('MD Register'!B99="","",'MD Register'!X99)</f>
        <v/>
      </c>
      <c r="K103" s="130" t="str">
        <f>IF('MD Register'!B99="","",'MD Register'!Y99)</f>
        <v/>
      </c>
    </row>
    <row r="104" spans="1:11" ht="15" customHeight="1" x14ac:dyDescent="0.45">
      <c r="A104" s="133" t="str">
        <f>IF('MD Register'!B100="","",'MD Register'!A100)</f>
        <v/>
      </c>
      <c r="B104" s="134" t="str">
        <f>IF('MD Register'!B100="","",'MD Register'!B100)</f>
        <v/>
      </c>
      <c r="C104" s="135" t="str">
        <f>IF('MD Register'!B100="","",'MD Register'!C100)</f>
        <v/>
      </c>
      <c r="D104" s="135" t="str">
        <f>IF('MD Register'!B100="","",'MD Register'!D100)</f>
        <v/>
      </c>
      <c r="E104" s="135" t="str">
        <f>IF('MD Register'!B100="","",'MD Register'!E100)</f>
        <v/>
      </c>
      <c r="F104" s="136" t="str">
        <f>IF('MD Register'!B100="","",'MD Register'!F100)</f>
        <v/>
      </c>
      <c r="G104" s="136" t="str">
        <f>IF('MD Register'!B100="","",'MD Register'!V100)</f>
        <v/>
      </c>
      <c r="H104" s="136" t="str">
        <f>IF('MD Register'!B100="","",'MD Register'!AC100)</f>
        <v/>
      </c>
      <c r="I104" s="136" t="str">
        <f>IF('MD Register'!B100="","",'MD Register'!W100)</f>
        <v/>
      </c>
      <c r="J104" s="137" t="str">
        <f>IF('MD Register'!B100="","",'MD Register'!X100)</f>
        <v/>
      </c>
      <c r="K104" s="135" t="str">
        <f>IF('MD Register'!B100="","",'MD Register'!Y100)</f>
        <v/>
      </c>
    </row>
    <row r="105" spans="1:11" ht="15" customHeight="1" x14ac:dyDescent="0.45">
      <c r="A105" s="128" t="str">
        <f>IF('MD Register'!B101="","",'MD Register'!A101)</f>
        <v/>
      </c>
      <c r="B105" s="129" t="str">
        <f>IF('MD Register'!B101="","",'MD Register'!B101)</f>
        <v/>
      </c>
      <c r="C105" s="130" t="str">
        <f>IF('MD Register'!B101="","",'MD Register'!C101)</f>
        <v/>
      </c>
      <c r="D105" s="130" t="str">
        <f>IF('MD Register'!B101="","",'MD Register'!D101)</f>
        <v/>
      </c>
      <c r="E105" s="130" t="str">
        <f>IF('MD Register'!B101="","",'MD Register'!E101)</f>
        <v/>
      </c>
      <c r="F105" s="131" t="str">
        <f>IF('MD Register'!B101="","",'MD Register'!F101)</f>
        <v/>
      </c>
      <c r="G105" s="131" t="str">
        <f>IF('MD Register'!B101="","",'MD Register'!V101)</f>
        <v/>
      </c>
      <c r="H105" s="131" t="str">
        <f>IF('MD Register'!B101="","",'MD Register'!AC101)</f>
        <v/>
      </c>
      <c r="I105" s="131" t="str">
        <f>IF('MD Register'!B101="","",'MD Register'!W101)</f>
        <v/>
      </c>
      <c r="J105" s="132" t="str">
        <f>IF('MD Register'!B101="","",'MD Register'!X101)</f>
        <v/>
      </c>
      <c r="K105" s="130" t="str">
        <f>IF('MD Register'!B101="","",'MD Register'!Y101)</f>
        <v/>
      </c>
    </row>
    <row r="106" spans="1:11" ht="15" customHeight="1" x14ac:dyDescent="0.45">
      <c r="A106" s="133" t="str">
        <f>IF('MD Register'!B102="","",'MD Register'!A102)</f>
        <v/>
      </c>
      <c r="B106" s="134" t="str">
        <f>IF('MD Register'!B102="","",'MD Register'!B102)</f>
        <v/>
      </c>
      <c r="C106" s="135" t="str">
        <f>IF('MD Register'!B102="","",'MD Register'!C102)</f>
        <v/>
      </c>
      <c r="D106" s="135" t="str">
        <f>IF('MD Register'!B102="","",'MD Register'!D102)</f>
        <v/>
      </c>
      <c r="E106" s="135" t="str">
        <f>IF('MD Register'!B102="","",'MD Register'!E102)</f>
        <v/>
      </c>
      <c r="F106" s="136" t="str">
        <f>IF('MD Register'!B102="","",'MD Register'!F102)</f>
        <v/>
      </c>
      <c r="G106" s="136" t="str">
        <f>IF('MD Register'!B102="","",'MD Register'!V102)</f>
        <v/>
      </c>
      <c r="H106" s="136" t="str">
        <f>IF('MD Register'!B102="","",'MD Register'!AC102)</f>
        <v/>
      </c>
      <c r="I106" s="136" t="str">
        <f>IF('MD Register'!B102="","",'MD Register'!W102)</f>
        <v/>
      </c>
      <c r="J106" s="137" t="str">
        <f>IF('MD Register'!B102="","",'MD Register'!X102)</f>
        <v/>
      </c>
      <c r="K106" s="135" t="str">
        <f>IF('MD Register'!B102="","",'MD Register'!Y102)</f>
        <v/>
      </c>
    </row>
    <row r="107" spans="1:11" ht="15" customHeight="1" x14ac:dyDescent="0.45">
      <c r="A107" s="128" t="str">
        <f>IF('MD Register'!B103="","",'MD Register'!A103)</f>
        <v/>
      </c>
      <c r="B107" s="129" t="str">
        <f>IF('MD Register'!B103="","",'MD Register'!B103)</f>
        <v/>
      </c>
      <c r="C107" s="130" t="str">
        <f>IF('MD Register'!B103="","",'MD Register'!C103)</f>
        <v/>
      </c>
      <c r="D107" s="130" t="str">
        <f>IF('MD Register'!B103="","",'MD Register'!D103)</f>
        <v/>
      </c>
      <c r="E107" s="130" t="str">
        <f>IF('MD Register'!B103="","",'MD Register'!E103)</f>
        <v/>
      </c>
      <c r="F107" s="131" t="str">
        <f>IF('MD Register'!B103="","",'MD Register'!F103)</f>
        <v/>
      </c>
      <c r="G107" s="131" t="str">
        <f>IF('MD Register'!B103="","",'MD Register'!V103)</f>
        <v/>
      </c>
      <c r="H107" s="131" t="str">
        <f>IF('MD Register'!B103="","",'MD Register'!AC103)</f>
        <v/>
      </c>
      <c r="I107" s="131" t="str">
        <f>IF('MD Register'!B103="","",'MD Register'!W103)</f>
        <v/>
      </c>
      <c r="J107" s="132" t="str">
        <f>IF('MD Register'!B103="","",'MD Register'!X103)</f>
        <v/>
      </c>
      <c r="K107" s="130" t="str">
        <f>IF('MD Register'!B103="","",'MD Register'!Y103)</f>
        <v/>
      </c>
    </row>
    <row r="108" spans="1:11" ht="15" customHeight="1" x14ac:dyDescent="0.45">
      <c r="A108" s="133" t="str">
        <f>IF('MD Register'!B104="","",'MD Register'!A104)</f>
        <v/>
      </c>
      <c r="B108" s="134" t="str">
        <f>IF('MD Register'!B104="","",'MD Register'!B104)</f>
        <v/>
      </c>
      <c r="C108" s="135" t="str">
        <f>IF('MD Register'!B104="","",'MD Register'!C104)</f>
        <v/>
      </c>
      <c r="D108" s="135" t="str">
        <f>IF('MD Register'!B104="","",'MD Register'!D104)</f>
        <v/>
      </c>
      <c r="E108" s="135" t="str">
        <f>IF('MD Register'!B104="","",'MD Register'!E104)</f>
        <v/>
      </c>
      <c r="F108" s="136" t="str">
        <f>IF('MD Register'!B104="","",'MD Register'!F102)</f>
        <v/>
      </c>
      <c r="G108" s="136" t="str">
        <f>IF('MD Register'!B104="","",'MD Register'!V102)</f>
        <v/>
      </c>
      <c r="H108" s="136" t="str">
        <f>IF('MD Register'!B104="","",'MD Register'!AC102)</f>
        <v/>
      </c>
      <c r="I108" s="136" t="str">
        <f>IF('MD Register'!B104="","",'MD Register'!W102)</f>
        <v/>
      </c>
      <c r="J108" s="137" t="str">
        <f>IF('MD Register'!B104="","",'MD Register'!X104)</f>
        <v/>
      </c>
      <c r="K108" s="135" t="str">
        <f>IF('MD Register'!B104="","",'MD Register'!Y104)</f>
        <v/>
      </c>
    </row>
    <row r="109" spans="1:11" ht="15" customHeight="1" x14ac:dyDescent="0.45">
      <c r="A109" s="173" t="s">
        <v>120</v>
      </c>
      <c r="B109" s="174"/>
      <c r="C109" s="174"/>
      <c r="D109" s="174"/>
      <c r="E109" s="175"/>
      <c r="F109" s="94">
        <f>SUM('MD Register'!F5:F102)</f>
        <v>752471165.96000004</v>
      </c>
      <c r="G109" s="94">
        <f>SUM('MD Register'!V5:V102)</f>
        <v>508196229.25</v>
      </c>
      <c r="H109" s="94">
        <f>SUM('MD Register'!AC5:AC102)</f>
        <v>31453515</v>
      </c>
      <c r="I109" s="94">
        <f>SUM('MD Register'!W5:W102)</f>
        <v>212821421.70999998</v>
      </c>
      <c r="J109" s="95">
        <f>IF(F109=0,0,G109/F109)</f>
        <v>0.67536970483333414</v>
      </c>
      <c r="K109" s="138"/>
    </row>
    <row r="111" spans="1:11" ht="15" customHeight="1" x14ac:dyDescent="0.45">
      <c r="A111" t="s">
        <v>509</v>
      </c>
      <c r="B111">
        <f>COUNTA('MD Register'!B5:B104)</f>
        <v>29</v>
      </c>
    </row>
    <row r="112" spans="1:11" ht="15" customHeight="1" x14ac:dyDescent="0.45">
      <c r="A112" t="s">
        <v>510</v>
      </c>
      <c r="B112" t="s">
        <v>511</v>
      </c>
    </row>
    <row r="113" spans="1:2" ht="15" customHeight="1" x14ac:dyDescent="0.45">
      <c r="A113" t="s">
        <v>512</v>
      </c>
      <c r="B113" t="s">
        <v>513</v>
      </c>
    </row>
  </sheetData>
  <mergeCells count="1">
    <mergeCell ref="A109:E10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Dashboard MD</vt:lpstr>
      <vt:lpstr>MD Register</vt:lpstr>
      <vt:lpstr>VBA_Code</vt:lpstr>
      <vt:lpstr>README</vt:lpstr>
      <vt:lpstr>Lists</vt:lpstr>
      <vt:lpstr>Projects &amp; Contracts</vt:lpstr>
      <vt:lpstr>Export_HTML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Rudy  Choufani</cp:lastModifiedBy>
  <cp:revision>9</cp:revision>
  <dcterms:created xsi:type="dcterms:W3CDTF">2026-03-11T14:51:57Z</dcterms:created>
  <dcterms:modified xsi:type="dcterms:W3CDTF">2026-05-28T13:12:39Z</dcterms:modified>
  <cp:category/>
  <cp:contentStatus/>
</cp:coreProperties>
</file>